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 PC\Downloads\"/>
    </mc:Choice>
  </mc:AlternateContent>
  <xr:revisionPtr revIDLastSave="0" documentId="8_{EFEC62F4-1AF5-4EF1-9B64-446C47824A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PG JULY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6" i="1" l="1"/>
  <c r="M46" i="1"/>
  <c r="F46" i="1"/>
  <c r="E46" i="1"/>
  <c r="N45" i="1"/>
  <c r="M45" i="1"/>
  <c r="F45" i="1"/>
  <c r="E45" i="1"/>
  <c r="N44" i="1"/>
  <c r="M44" i="1"/>
  <c r="F44" i="1"/>
  <c r="E44" i="1"/>
  <c r="N43" i="1"/>
  <c r="M43" i="1"/>
  <c r="F43" i="1"/>
  <c r="E43" i="1"/>
  <c r="N42" i="1"/>
  <c r="M42" i="1"/>
  <c r="F42" i="1"/>
  <c r="E42" i="1"/>
  <c r="N41" i="1"/>
  <c r="M41" i="1"/>
  <c r="F41" i="1"/>
  <c r="E41" i="1"/>
  <c r="N40" i="1"/>
  <c r="M40" i="1"/>
  <c r="F40" i="1"/>
  <c r="E40" i="1"/>
  <c r="N39" i="1"/>
  <c r="M39" i="1"/>
  <c r="F39" i="1"/>
  <c r="E39" i="1"/>
  <c r="N38" i="1"/>
  <c r="M38" i="1"/>
  <c r="F38" i="1"/>
  <c r="E38" i="1"/>
  <c r="N37" i="1"/>
  <c r="M37" i="1"/>
  <c r="F37" i="1"/>
  <c r="E37" i="1"/>
  <c r="N36" i="1"/>
  <c r="M36" i="1"/>
  <c r="F36" i="1"/>
  <c r="E36" i="1"/>
  <c r="N35" i="1"/>
  <c r="M35" i="1"/>
  <c r="F35" i="1"/>
  <c r="E35" i="1"/>
  <c r="N34" i="1"/>
  <c r="M34" i="1"/>
  <c r="F34" i="1"/>
  <c r="E34" i="1"/>
  <c r="N33" i="1"/>
  <c r="M33" i="1"/>
  <c r="F33" i="1"/>
  <c r="E33" i="1"/>
  <c r="N32" i="1"/>
  <c r="M32" i="1"/>
  <c r="F32" i="1"/>
  <c r="E32" i="1"/>
  <c r="N31" i="1"/>
  <c r="M31" i="1"/>
  <c r="F31" i="1"/>
  <c r="E31" i="1"/>
  <c r="N30" i="1"/>
  <c r="M30" i="1"/>
  <c r="F30" i="1"/>
  <c r="E30" i="1"/>
  <c r="N29" i="1"/>
  <c r="M29" i="1"/>
  <c r="F29" i="1"/>
  <c r="E29" i="1"/>
  <c r="N28" i="1"/>
  <c r="M28" i="1"/>
  <c r="F28" i="1"/>
  <c r="E28" i="1"/>
  <c r="N27" i="1"/>
  <c r="M27" i="1"/>
  <c r="F27" i="1"/>
  <c r="E27" i="1"/>
  <c r="N26" i="1"/>
  <c r="M26" i="1"/>
  <c r="F26" i="1"/>
  <c r="E26" i="1"/>
  <c r="N25" i="1"/>
  <c r="M25" i="1"/>
  <c r="F25" i="1"/>
  <c r="E25" i="1"/>
  <c r="N24" i="1"/>
  <c r="M24" i="1"/>
  <c r="F24" i="1"/>
  <c r="E24" i="1"/>
  <c r="N23" i="1"/>
  <c r="M23" i="1"/>
  <c r="F23" i="1"/>
  <c r="E23" i="1"/>
  <c r="N22" i="1"/>
  <c r="M22" i="1"/>
  <c r="F22" i="1"/>
  <c r="E22" i="1"/>
  <c r="N21" i="1"/>
  <c r="M21" i="1"/>
  <c r="F21" i="1"/>
  <c r="E21" i="1"/>
  <c r="N20" i="1"/>
  <c r="M20" i="1"/>
  <c r="F20" i="1"/>
  <c r="E20" i="1"/>
  <c r="N19" i="1"/>
  <c r="M19" i="1"/>
  <c r="F19" i="1"/>
  <c r="E19" i="1"/>
  <c r="N18" i="1"/>
  <c r="M18" i="1"/>
  <c r="F18" i="1"/>
  <c r="E18" i="1"/>
  <c r="N17" i="1"/>
  <c r="M17" i="1"/>
  <c r="F17" i="1"/>
  <c r="E17" i="1"/>
  <c r="N16" i="1"/>
  <c r="M16" i="1"/>
  <c r="F16" i="1"/>
  <c r="E16" i="1"/>
  <c r="N15" i="1"/>
  <c r="M15" i="1"/>
  <c r="F15" i="1"/>
  <c r="E15" i="1"/>
  <c r="N14" i="1"/>
  <c r="M14" i="1"/>
  <c r="F14" i="1"/>
  <c r="E14" i="1"/>
  <c r="N13" i="1"/>
  <c r="M13" i="1"/>
  <c r="F13" i="1"/>
  <c r="E13" i="1"/>
  <c r="N12" i="1"/>
  <c r="M12" i="1"/>
  <c r="F12" i="1"/>
  <c r="E12" i="1"/>
  <c r="N11" i="1"/>
  <c r="M11" i="1"/>
  <c r="F11" i="1"/>
  <c r="E11" i="1"/>
  <c r="N10" i="1"/>
  <c r="M10" i="1"/>
  <c r="F10" i="1"/>
  <c r="E10" i="1"/>
  <c r="N9" i="1"/>
  <c r="M9" i="1"/>
  <c r="F9" i="1"/>
  <c r="E9" i="1"/>
  <c r="N8" i="1"/>
  <c r="M8" i="1"/>
  <c r="F8" i="1"/>
  <c r="E8" i="1"/>
  <c r="N7" i="1"/>
  <c r="M7" i="1"/>
  <c r="F7" i="1"/>
  <c r="E7" i="1"/>
  <c r="N6" i="1"/>
  <c r="M6" i="1"/>
  <c r="F6" i="1"/>
  <c r="E6" i="1"/>
  <c r="N5" i="1"/>
  <c r="M5" i="1"/>
  <c r="F5" i="1"/>
  <c r="E5" i="1"/>
  <c r="N4" i="1"/>
  <c r="M4" i="1"/>
  <c r="F4" i="1"/>
  <c r="E4" i="1"/>
  <c r="N3" i="1"/>
  <c r="M3" i="1"/>
  <c r="F3" i="1"/>
  <c r="E3" i="1"/>
</calcChain>
</file>

<file path=xl/sharedStrings.xml><?xml version="1.0" encoding="utf-8"?>
<sst xmlns="http://schemas.openxmlformats.org/spreadsheetml/2006/main" count="100" uniqueCount="51">
  <si>
    <t>5KG</t>
  </si>
  <si>
    <t>12.5KG</t>
  </si>
  <si>
    <t>Average of Jul-23</t>
  </si>
  <si>
    <t>Average of Jun-24</t>
  </si>
  <si>
    <t>Average of Jul-24</t>
  </si>
  <si>
    <t>MoM</t>
  </si>
  <si>
    <t>YoY</t>
  </si>
  <si>
    <t>NORTH CENTRAL</t>
  </si>
  <si>
    <t>Abuja</t>
  </si>
  <si>
    <t>Benue</t>
  </si>
  <si>
    <t>Kogi</t>
  </si>
  <si>
    <t>Kwara</t>
  </si>
  <si>
    <t>Nasarawa</t>
  </si>
  <si>
    <t>Niger</t>
  </si>
  <si>
    <t>Plateau</t>
  </si>
  <si>
    <t>NORTH EAST</t>
  </si>
  <si>
    <t>Adamawa</t>
  </si>
  <si>
    <t>Bauchi</t>
  </si>
  <si>
    <t>Borno</t>
  </si>
  <si>
    <t>Gombe</t>
  </si>
  <si>
    <t>Taraba</t>
  </si>
  <si>
    <t>Yobe</t>
  </si>
  <si>
    <t>NORTH WEST</t>
  </si>
  <si>
    <t>Jigawa</t>
  </si>
  <si>
    <t>Kaduna</t>
  </si>
  <si>
    <t>Kano</t>
  </si>
  <si>
    <t>Katsina</t>
  </si>
  <si>
    <t>Kebbi</t>
  </si>
  <si>
    <t>Sokoto</t>
  </si>
  <si>
    <t>Zamfara</t>
  </si>
  <si>
    <t>SOUTH EAST</t>
  </si>
  <si>
    <t>Abia</t>
  </si>
  <si>
    <t>Anambra</t>
  </si>
  <si>
    <t>Ebonyi</t>
  </si>
  <si>
    <t>Enugu</t>
  </si>
  <si>
    <t>Imo</t>
  </si>
  <si>
    <t>SOUTH SOUTH</t>
  </si>
  <si>
    <t>Akwa Ibom</t>
  </si>
  <si>
    <t>Bayelsa</t>
  </si>
  <si>
    <t>Cross River</t>
  </si>
  <si>
    <t>Delta</t>
  </si>
  <si>
    <t>Edo</t>
  </si>
  <si>
    <t>Rivers</t>
  </si>
  <si>
    <t>SOUTH WEST</t>
  </si>
  <si>
    <t>Ekiti</t>
  </si>
  <si>
    <t>Lagos</t>
  </si>
  <si>
    <t>Ogun</t>
  </si>
  <si>
    <t>Ondo</t>
  </si>
  <si>
    <t>Osun</t>
  </si>
  <si>
    <t>Oyo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</si>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</sst>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5DCE4"/>
        <bgColor indexed="64"/>
      </patternFill>
    </fill>
    <fill>
      <patternFill patternType="solid">
        <fgColor rgb="FFD5DCE4"/>
        <bgColor rgb="FFD9E3F3"/>
      </patternFill>
    </fill>
    <fill>
      <patternFill patternType="solid">
        <fgColor rgb="FFD9E3F3"/>
        <bgColor rgb="FFD9E3F3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rgb="FF8FABDB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rgb="FF8FABDB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>
      <alignment vertical="center"/>
    </xf>
    <xf numFmtId="43" fontId="6" fillId="0" borderId="0">
      <protection locked="0"/>
    </xf>
    <xf numFmtId="0" fontId="9" fillId="0" borderId="0">
      <protection locked="0"/>
    </xf>
  </cellStyleXfs>
  <cellXfs count="31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1"/>
    </xf>
    <xf numFmtId="2" fontId="3" fillId="0" borderId="8" xfId="0" applyNumberFormat="1" applyFont="1" applyBorder="1">
      <alignment vertical="center"/>
    </xf>
    <xf numFmtId="2" fontId="1" fillId="0" borderId="0" xfId="0" applyNumberFormat="1" applyFont="1">
      <alignment vertical="center"/>
    </xf>
    <xf numFmtId="2" fontId="1" fillId="0" borderId="9" xfId="0" applyNumberFormat="1" applyFont="1" applyBorder="1">
      <alignment vertical="center"/>
    </xf>
    <xf numFmtId="43" fontId="4" fillId="0" borderId="8" xfId="1" applyFont="1" applyBorder="1" applyAlignment="1" applyProtection="1">
      <alignment vertical="top"/>
    </xf>
    <xf numFmtId="0" fontId="2" fillId="0" borderId="7" xfId="0" applyFont="1" applyBorder="1" applyAlignment="1">
      <alignment horizontal="left" vertical="center" indent="2"/>
    </xf>
    <xf numFmtId="2" fontId="2" fillId="0" borderId="0" xfId="0" applyNumberFormat="1" applyFont="1">
      <alignment vertical="center"/>
    </xf>
    <xf numFmtId="2" fontId="5" fillId="0" borderId="0" xfId="0" applyNumberFormat="1" applyFont="1">
      <alignment vertical="center"/>
    </xf>
    <xf numFmtId="2" fontId="5" fillId="0" borderId="9" xfId="0" applyNumberFormat="1" applyFont="1" applyBorder="1">
      <alignment vertical="center"/>
    </xf>
    <xf numFmtId="0" fontId="5" fillId="0" borderId="7" xfId="0" applyFont="1" applyBorder="1" applyAlignment="1">
      <alignment horizontal="left" vertical="center" indent="2"/>
    </xf>
    <xf numFmtId="43" fontId="6" fillId="0" borderId="0" xfId="1" applyAlignment="1">
      <alignment vertical="top"/>
      <protection locked="0"/>
    </xf>
    <xf numFmtId="0" fontId="3" fillId="3" borderId="1" xfId="0" applyFont="1" applyFill="1" applyBorder="1" applyAlignment="1">
      <alignment horizontal="left" vertical="center"/>
    </xf>
    <xf numFmtId="2" fontId="3" fillId="3" borderId="2" xfId="0" applyNumberFormat="1" applyFont="1" applyFill="1" applyBorder="1">
      <alignment vertical="center"/>
    </xf>
    <xf numFmtId="2" fontId="1" fillId="2" borderId="2" xfId="0" applyNumberFormat="1" applyFont="1" applyFill="1" applyBorder="1">
      <alignment vertical="center"/>
    </xf>
    <xf numFmtId="2" fontId="1" fillId="2" borderId="3" xfId="0" applyNumberFormat="1" applyFont="1" applyFill="1" applyBorder="1">
      <alignment vertical="center"/>
    </xf>
    <xf numFmtId="43" fontId="4" fillId="4" borderId="10" xfId="1" applyFont="1" applyFill="1" applyBorder="1" applyAlignment="1" applyProtection="1">
      <alignment vertical="top"/>
    </xf>
    <xf numFmtId="0" fontId="7" fillId="0" borderId="0" xfId="2" applyFont="1" applyAlignment="1" applyProtection="1">
      <alignment horizontal="left"/>
    </xf>
    <xf numFmtId="0" fontId="8" fillId="0" borderId="11" xfId="2" applyFont="1" applyBorder="1" applyAlignment="1" applyProtection="1">
      <alignment horizontal="left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0/cellImage" Target="NUL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abSelected="1" workbookViewId="0">
      <selection activeCell="K56" sqref="K56"/>
    </sheetView>
  </sheetViews>
  <sheetFormatPr defaultColWidth="10" defaultRowHeight="15" x14ac:dyDescent="0.25"/>
  <cols>
    <col min="1" max="1" width="22.42578125" customWidth="1"/>
    <col min="2" max="2" width="17.42578125" customWidth="1"/>
    <col min="3" max="3" width="16.85546875" customWidth="1"/>
    <col min="4" max="4" width="17.7109375" customWidth="1"/>
    <col min="9" max="9" width="18.42578125" customWidth="1"/>
    <col min="10" max="10" width="16.85546875" customWidth="1"/>
    <col min="11" max="11" width="17" customWidth="1"/>
    <col min="12" max="12" width="16.85546875" customWidth="1"/>
    <col min="13" max="13" width="11.140625" customWidth="1"/>
    <col min="15" max="15" width="10.85546875" customWidth="1"/>
    <col min="16" max="16" width="10.7109375" customWidth="1"/>
    <col min="17" max="17" width="12.7109375" customWidth="1"/>
  </cols>
  <sheetData>
    <row r="1" spans="1:17" x14ac:dyDescent="0.25">
      <c r="A1" s="25" t="s">
        <v>0</v>
      </c>
      <c r="B1" s="26"/>
      <c r="C1" s="26"/>
      <c r="D1" s="26"/>
      <c r="E1" s="26"/>
      <c r="F1" s="27"/>
      <c r="I1" s="28" t="s">
        <v>1</v>
      </c>
      <c r="J1" s="29"/>
      <c r="K1" s="29"/>
      <c r="L1" s="29"/>
      <c r="M1" s="29"/>
      <c r="N1" s="30"/>
    </row>
    <row r="2" spans="1:17" x14ac:dyDescent="0.25">
      <c r="A2" s="1"/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I2" s="4"/>
      <c r="J2" s="2" t="s">
        <v>2</v>
      </c>
      <c r="K2" s="2" t="s">
        <v>3</v>
      </c>
      <c r="L2" s="2" t="s">
        <v>4</v>
      </c>
      <c r="M2" s="5" t="s">
        <v>5</v>
      </c>
      <c r="N2" s="6" t="s">
        <v>6</v>
      </c>
    </row>
    <row r="3" spans="1:17" x14ac:dyDescent="0.25">
      <c r="A3" s="7" t="s">
        <v>7</v>
      </c>
      <c r="B3" s="8">
        <v>4425.5581844897961</v>
      </c>
      <c r="C3" s="8">
        <v>7096.5089002267569</v>
      </c>
      <c r="D3" s="8">
        <v>6042.3329316191612</v>
      </c>
      <c r="E3" s="9">
        <f>D3/C3*100-100</f>
        <v>-14.854853047163957</v>
      </c>
      <c r="F3" s="10">
        <f>D3/B3*100-100</f>
        <v>36.532674065740622</v>
      </c>
      <c r="I3" s="7" t="s">
        <v>7</v>
      </c>
      <c r="J3" s="8">
        <v>9256.416439909297</v>
      </c>
      <c r="K3" s="8">
        <v>15593.28214940983</v>
      </c>
      <c r="L3" s="8">
        <v>13611.682851363203</v>
      </c>
      <c r="M3" s="9">
        <f>L3/K3*100-100</f>
        <v>-12.708032081120436</v>
      </c>
      <c r="N3" s="10">
        <f>L3/J3*100-100</f>
        <v>47.051323152187194</v>
      </c>
      <c r="O3" s="11"/>
      <c r="P3" s="11"/>
      <c r="Q3" s="11"/>
    </row>
    <row r="4" spans="1:17" x14ac:dyDescent="0.25">
      <c r="A4" s="12" t="s">
        <v>8</v>
      </c>
      <c r="B4" s="13">
        <v>4387.3587200000002</v>
      </c>
      <c r="C4" s="13">
        <v>6710</v>
      </c>
      <c r="D4" s="13">
        <v>5617.7</v>
      </c>
      <c r="E4" s="14">
        <f>D4/C4*100-100</f>
        <v>-16.278688524590166</v>
      </c>
      <c r="F4" s="15">
        <f>D4/B4*100-100</f>
        <v>28.042869492102966</v>
      </c>
      <c r="I4" s="16" t="s">
        <v>8</v>
      </c>
      <c r="J4" s="13">
        <v>9080</v>
      </c>
      <c r="K4" s="13">
        <v>16690</v>
      </c>
      <c r="L4" s="13">
        <v>13580</v>
      </c>
      <c r="M4" s="14">
        <f>L4/K4*100-100</f>
        <v>-18.633912522468549</v>
      </c>
      <c r="N4" s="15">
        <f>L4/J4*100-100</f>
        <v>49.559471365638757</v>
      </c>
      <c r="O4" s="17"/>
      <c r="P4" s="17"/>
      <c r="Q4" s="17"/>
    </row>
    <row r="5" spans="1:17" x14ac:dyDescent="0.25">
      <c r="A5" s="12" t="s">
        <v>9</v>
      </c>
      <c r="B5" s="13">
        <v>4579.87</v>
      </c>
      <c r="C5" s="13">
        <v>7336.1428571428596</v>
      </c>
      <c r="D5" s="13">
        <v>6491</v>
      </c>
      <c r="E5" s="14">
        <f t="shared" ref="E5:E46" si="0">D5/C5*100-100</f>
        <v>-11.5202617179133</v>
      </c>
      <c r="F5" s="15">
        <f t="shared" ref="F5:F46" si="1">D5/B5*100-100</f>
        <v>41.728913702790692</v>
      </c>
      <c r="I5" s="12" t="s">
        <v>9</v>
      </c>
      <c r="J5" s="13">
        <v>9022.2222222222208</v>
      </c>
      <c r="K5" s="13">
        <v>16390</v>
      </c>
      <c r="L5" s="13">
        <v>13847.5</v>
      </c>
      <c r="M5" s="14">
        <f t="shared" ref="M5:M46" si="2">L5/K5*100-100</f>
        <v>-15.51250762660159</v>
      </c>
      <c r="N5" s="15">
        <f t="shared" ref="N5:N46" si="3">L5/J5*100-100</f>
        <v>53.48214285714289</v>
      </c>
      <c r="O5" s="17"/>
      <c r="P5" s="17"/>
      <c r="Q5" s="17"/>
    </row>
    <row r="6" spans="1:17" x14ac:dyDescent="0.25">
      <c r="A6" s="12" t="s">
        <v>10</v>
      </c>
      <c r="B6" s="13">
        <v>4621.4285714285697</v>
      </c>
      <c r="C6" s="13">
        <v>7238.1833333333298</v>
      </c>
      <c r="D6" s="13">
        <v>5560.62841796875</v>
      </c>
      <c r="E6" s="14">
        <f t="shared" si="0"/>
        <v>-23.17646345926461</v>
      </c>
      <c r="F6" s="15">
        <f t="shared" si="1"/>
        <v>20.322716926680883</v>
      </c>
      <c r="I6" s="12" t="s">
        <v>10</v>
      </c>
      <c r="J6" s="13">
        <v>8840</v>
      </c>
      <c r="K6" s="13">
        <v>14455.3812144886</v>
      </c>
      <c r="L6" s="13">
        <v>13622.377371651786</v>
      </c>
      <c r="M6" s="14">
        <f t="shared" si="2"/>
        <v>-5.7625864754220117</v>
      </c>
      <c r="N6" s="15">
        <f t="shared" si="3"/>
        <v>54.099291534522479</v>
      </c>
      <c r="O6" s="17"/>
      <c r="P6" s="17"/>
      <c r="Q6" s="17"/>
    </row>
    <row r="7" spans="1:17" x14ac:dyDescent="0.25">
      <c r="A7" s="12" t="s">
        <v>11</v>
      </c>
      <c r="B7" s="13">
        <v>4780</v>
      </c>
      <c r="C7" s="13">
        <v>7562.3125</v>
      </c>
      <c r="D7" s="13">
        <v>5936.2919921875</v>
      </c>
      <c r="E7" s="14">
        <f t="shared" si="0"/>
        <v>-21.501630722249303</v>
      </c>
      <c r="F7" s="15">
        <f t="shared" si="1"/>
        <v>24.190209041579493</v>
      </c>
      <c r="I7" s="12" t="s">
        <v>11</v>
      </c>
      <c r="J7" s="13">
        <v>9585.7142857142899</v>
      </c>
      <c r="K7" s="13">
        <v>16318.6354980469</v>
      </c>
      <c r="L7" s="13">
        <v>13314.465087890625</v>
      </c>
      <c r="M7" s="14">
        <f t="shared" si="2"/>
        <v>-18.409446123824694</v>
      </c>
      <c r="N7" s="15">
        <f t="shared" si="3"/>
        <v>38.899039665028823</v>
      </c>
      <c r="O7" s="17"/>
      <c r="P7" s="17"/>
      <c r="Q7" s="17"/>
    </row>
    <row r="8" spans="1:17" x14ac:dyDescent="0.25">
      <c r="A8" s="12" t="s">
        <v>12</v>
      </c>
      <c r="B8" s="13">
        <v>3366.6666666666702</v>
      </c>
      <c r="C8" s="13">
        <v>6412.65625</v>
      </c>
      <c r="D8" s="13">
        <v>6277.978515625</v>
      </c>
      <c r="E8" s="14">
        <f t="shared" si="0"/>
        <v>-2.1001863989668834</v>
      </c>
      <c r="F8" s="15">
        <f t="shared" si="1"/>
        <v>86.474609374999801</v>
      </c>
      <c r="I8" s="12" t="s">
        <v>12</v>
      </c>
      <c r="J8" s="13">
        <v>9588.0952380952403</v>
      </c>
      <c r="K8" s="13">
        <v>14553.125</v>
      </c>
      <c r="L8" s="13">
        <v>13413.8125</v>
      </c>
      <c r="M8" s="14">
        <f t="shared" si="2"/>
        <v>-7.8286450504616738</v>
      </c>
      <c r="N8" s="15">
        <f t="shared" si="3"/>
        <v>39.900701514775221</v>
      </c>
      <c r="O8" s="17"/>
      <c r="P8" s="17"/>
      <c r="Q8" s="17"/>
    </row>
    <row r="9" spans="1:17" x14ac:dyDescent="0.25">
      <c r="A9" s="12" t="s">
        <v>13</v>
      </c>
      <c r="B9" s="13">
        <v>4633.3333333333303</v>
      </c>
      <c r="C9" s="13">
        <v>7219.4444444444398</v>
      </c>
      <c r="D9" s="13">
        <v>6165.3125</v>
      </c>
      <c r="E9" s="14">
        <f t="shared" si="0"/>
        <v>-14.601288957291217</v>
      </c>
      <c r="F9" s="15">
        <f t="shared" si="1"/>
        <v>33.064298561151162</v>
      </c>
      <c r="I9" s="12" t="s">
        <v>13</v>
      </c>
      <c r="J9" s="13">
        <v>9553.3333333333303</v>
      </c>
      <c r="K9" s="13">
        <v>15995.833333333299</v>
      </c>
      <c r="L9" s="13">
        <v>13828.625</v>
      </c>
      <c r="M9" s="14">
        <f t="shared" si="2"/>
        <v>-13.548580359468431</v>
      </c>
      <c r="N9" s="15">
        <f t="shared" si="3"/>
        <v>44.751831821353846</v>
      </c>
      <c r="O9" s="17"/>
      <c r="P9" s="17"/>
      <c r="Q9" s="17"/>
    </row>
    <row r="10" spans="1:17" x14ac:dyDescent="0.25">
      <c r="A10" s="12" t="s">
        <v>14</v>
      </c>
      <c r="B10" s="13">
        <v>4610.25</v>
      </c>
      <c r="C10" s="13">
        <v>7196.8229166666697</v>
      </c>
      <c r="D10" s="13">
        <v>6247.4190955528848</v>
      </c>
      <c r="E10" s="14">
        <f t="shared" si="0"/>
        <v>-13.19198529833379</v>
      </c>
      <c r="F10" s="15">
        <f t="shared" si="1"/>
        <v>35.51150361808763</v>
      </c>
      <c r="I10" s="12" t="s">
        <v>14</v>
      </c>
      <c r="J10" s="13">
        <v>9125.5499999999993</v>
      </c>
      <c r="K10" s="13">
        <v>14750</v>
      </c>
      <c r="L10" s="13">
        <v>13675</v>
      </c>
      <c r="M10" s="14">
        <f t="shared" si="2"/>
        <v>-7.288135593220332</v>
      </c>
      <c r="N10" s="15">
        <f t="shared" si="3"/>
        <v>49.853981403860587</v>
      </c>
      <c r="O10" s="17"/>
      <c r="P10" s="17"/>
      <c r="Q10" s="17"/>
    </row>
    <row r="11" spans="1:17" x14ac:dyDescent="0.25">
      <c r="A11" s="7" t="s">
        <v>15</v>
      </c>
      <c r="B11" s="8">
        <v>4087.8351190476665</v>
      </c>
      <c r="C11" s="8">
        <v>6807.3888888888951</v>
      </c>
      <c r="D11" s="8">
        <v>6446.5348129734848</v>
      </c>
      <c r="E11" s="9">
        <f t="shared" si="0"/>
        <v>-5.3009176029946019</v>
      </c>
      <c r="F11" s="10">
        <f t="shared" si="1"/>
        <v>57.700460640773571</v>
      </c>
      <c r="I11" s="7" t="s">
        <v>15</v>
      </c>
      <c r="J11" s="8">
        <v>8604.6466904761837</v>
      </c>
      <c r="K11" s="8">
        <v>15104.258355034717</v>
      </c>
      <c r="L11" s="8">
        <v>15075.160200169477</v>
      </c>
      <c r="M11" s="9">
        <f t="shared" si="2"/>
        <v>-0.19264868344588137</v>
      </c>
      <c r="N11" s="10">
        <f t="shared" si="3"/>
        <v>75.197898791765653</v>
      </c>
      <c r="O11" s="11"/>
      <c r="P11" s="11"/>
      <c r="Q11" s="11"/>
    </row>
    <row r="12" spans="1:17" x14ac:dyDescent="0.25">
      <c r="A12" s="12" t="s">
        <v>16</v>
      </c>
      <c r="B12" s="13">
        <v>4534.375</v>
      </c>
      <c r="C12" s="13">
        <v>6470</v>
      </c>
      <c r="D12" s="13">
        <v>5870</v>
      </c>
      <c r="E12" s="14">
        <f t="shared" si="0"/>
        <v>-9.2735703245749619</v>
      </c>
      <c r="F12" s="15">
        <f t="shared" si="1"/>
        <v>29.455547898001385</v>
      </c>
      <c r="I12" s="12" t="s">
        <v>16</v>
      </c>
      <c r="J12" s="13">
        <v>7586.875</v>
      </c>
      <c r="K12" s="13">
        <v>16488.75</v>
      </c>
      <c r="L12" s="13">
        <v>13632.5625</v>
      </c>
      <c r="M12" s="14">
        <f t="shared" si="2"/>
        <v>-17.322037753013419</v>
      </c>
      <c r="N12" s="15">
        <f t="shared" si="3"/>
        <v>79.686135596012861</v>
      </c>
      <c r="O12" s="17"/>
      <c r="P12" s="17"/>
      <c r="Q12" s="17"/>
    </row>
    <row r="13" spans="1:17" x14ac:dyDescent="0.25">
      <c r="A13" s="12" t="s">
        <v>17</v>
      </c>
      <c r="B13" s="13">
        <v>4228.29</v>
      </c>
      <c r="C13" s="13">
        <v>7000</v>
      </c>
      <c r="D13" s="13">
        <v>6395</v>
      </c>
      <c r="E13" s="14">
        <f t="shared" si="0"/>
        <v>-8.6428571428571388</v>
      </c>
      <c r="F13" s="15">
        <f t="shared" si="1"/>
        <v>51.243173954482785</v>
      </c>
      <c r="I13" s="12" t="s">
        <v>17</v>
      </c>
      <c r="J13" s="13">
        <v>9562.8790476190006</v>
      </c>
      <c r="K13" s="13">
        <v>13450</v>
      </c>
      <c r="L13" s="13">
        <v>14375</v>
      </c>
      <c r="M13" s="14">
        <f t="shared" si="2"/>
        <v>6.8773234200743474</v>
      </c>
      <c r="N13" s="15">
        <f t="shared" si="3"/>
        <v>50.320838822897571</v>
      </c>
      <c r="O13" s="17"/>
      <c r="P13" s="17"/>
      <c r="Q13" s="17"/>
    </row>
    <row r="14" spans="1:17" x14ac:dyDescent="0.25">
      <c r="A14" s="12" t="s">
        <v>18</v>
      </c>
      <c r="B14" s="13">
        <v>3785.2857142859998</v>
      </c>
      <c r="C14" s="13">
        <v>7186.6666666666697</v>
      </c>
      <c r="D14" s="13">
        <v>7088.5867187499998</v>
      </c>
      <c r="E14" s="14">
        <f t="shared" si="0"/>
        <v>-1.3647488114564368</v>
      </c>
      <c r="F14" s="15">
        <f t="shared" si="1"/>
        <v>87.266886935299283</v>
      </c>
      <c r="I14" s="12" t="s">
        <v>18</v>
      </c>
      <c r="J14" s="13">
        <v>8020</v>
      </c>
      <c r="K14" s="13">
        <v>15305</v>
      </c>
      <c r="L14" s="13">
        <v>15122.857142857143</v>
      </c>
      <c r="M14" s="14">
        <f t="shared" si="2"/>
        <v>-1.1900872730666805</v>
      </c>
      <c r="N14" s="15">
        <f t="shared" si="3"/>
        <v>88.564303526897049</v>
      </c>
      <c r="O14" s="17"/>
      <c r="P14" s="17"/>
      <c r="Q14" s="17"/>
    </row>
    <row r="15" spans="1:17" x14ac:dyDescent="0.25">
      <c r="A15" s="12" t="s">
        <v>19</v>
      </c>
      <c r="B15" s="13">
        <v>3655.45</v>
      </c>
      <c r="C15" s="13">
        <v>6825</v>
      </c>
      <c r="D15" s="13">
        <v>6293.590909090909</v>
      </c>
      <c r="E15" s="14">
        <f t="shared" si="0"/>
        <v>-7.7862137862137928</v>
      </c>
      <c r="F15" s="15">
        <f t="shared" si="1"/>
        <v>72.170072332843006</v>
      </c>
      <c r="I15" s="12" t="s">
        <v>19</v>
      </c>
      <c r="J15" s="13">
        <v>8170.6064285714301</v>
      </c>
      <c r="K15" s="13">
        <v>16473.333333333299</v>
      </c>
      <c r="L15" s="13">
        <v>15872.222222222223</v>
      </c>
      <c r="M15" s="14">
        <f t="shared" si="2"/>
        <v>-3.6489950087681677</v>
      </c>
      <c r="N15" s="15">
        <f t="shared" si="3"/>
        <v>94.260026608543455</v>
      </c>
      <c r="O15" s="17"/>
      <c r="P15" s="17"/>
      <c r="Q15" s="17"/>
    </row>
    <row r="16" spans="1:17" x14ac:dyDescent="0.25">
      <c r="A16" s="12" t="s">
        <v>20</v>
      </c>
      <c r="B16" s="13">
        <v>4198.25</v>
      </c>
      <c r="C16" s="13">
        <v>7300.1666666666997</v>
      </c>
      <c r="D16" s="13">
        <v>6096.53125</v>
      </c>
      <c r="E16" s="14">
        <f t="shared" si="0"/>
        <v>-16.48777995936203</v>
      </c>
      <c r="F16" s="15">
        <f t="shared" si="1"/>
        <v>45.216012624307751</v>
      </c>
      <c r="I16" s="12" t="s">
        <v>20</v>
      </c>
      <c r="J16" s="13">
        <v>8921.6666666666697</v>
      </c>
      <c r="K16" s="13">
        <v>13950</v>
      </c>
      <c r="L16" s="13">
        <v>15625</v>
      </c>
      <c r="M16" s="14">
        <f t="shared" si="2"/>
        <v>12.007168458781365</v>
      </c>
      <c r="N16" s="15">
        <f t="shared" si="3"/>
        <v>75.135438072109025</v>
      </c>
      <c r="O16" s="17"/>
      <c r="P16" s="17"/>
      <c r="Q16" s="17"/>
    </row>
    <row r="17" spans="1:17" x14ac:dyDescent="0.25">
      <c r="A17" s="12" t="s">
        <v>21</v>
      </c>
      <c r="B17" s="13">
        <v>4125.3599999999997</v>
      </c>
      <c r="C17" s="13">
        <v>6062.5</v>
      </c>
      <c r="D17" s="13">
        <v>6935.5</v>
      </c>
      <c r="E17" s="14">
        <f t="shared" si="0"/>
        <v>14.399999999999991</v>
      </c>
      <c r="F17" s="15">
        <f t="shared" si="1"/>
        <v>68.118661159268555</v>
      </c>
      <c r="I17" s="12" t="s">
        <v>21</v>
      </c>
      <c r="J17" s="13">
        <v>9365.8529999999992</v>
      </c>
      <c r="K17" s="13">
        <v>14958.466796875</v>
      </c>
      <c r="L17" s="13">
        <v>15823.3193359375</v>
      </c>
      <c r="M17" s="14">
        <f t="shared" si="2"/>
        <v>5.781692407427613</v>
      </c>
      <c r="N17" s="15">
        <f t="shared" si="3"/>
        <v>68.946911038829029</v>
      </c>
      <c r="O17" s="17"/>
      <c r="P17" s="17"/>
      <c r="Q17" s="17"/>
    </row>
    <row r="18" spans="1:17" x14ac:dyDescent="0.25">
      <c r="A18" s="7" t="s">
        <v>22</v>
      </c>
      <c r="B18" s="8">
        <v>4265.9654112554126</v>
      </c>
      <c r="C18" s="8">
        <v>6660.2043650793648</v>
      </c>
      <c r="D18" s="8">
        <v>6014.5430839002274</v>
      </c>
      <c r="E18" s="9">
        <f t="shared" si="0"/>
        <v>-9.6943163570843893</v>
      </c>
      <c r="F18" s="10">
        <f t="shared" si="1"/>
        <v>40.989026025183676</v>
      </c>
      <c r="I18" s="7" t="s">
        <v>22</v>
      </c>
      <c r="J18" s="8">
        <v>9001.8373969284694</v>
      </c>
      <c r="K18" s="8">
        <v>15819.440051020409</v>
      </c>
      <c r="L18" s="8">
        <v>14454.859307359307</v>
      </c>
      <c r="M18" s="9">
        <f t="shared" si="2"/>
        <v>-8.6259737339633631</v>
      </c>
      <c r="N18" s="10">
        <f t="shared" si="3"/>
        <v>60.576765275625519</v>
      </c>
      <c r="O18" s="11"/>
      <c r="P18" s="11"/>
      <c r="Q18" s="11"/>
    </row>
    <row r="19" spans="1:17" x14ac:dyDescent="0.25">
      <c r="A19" s="12" t="s">
        <v>23</v>
      </c>
      <c r="B19" s="13">
        <v>4142.8571428571404</v>
      </c>
      <c r="C19" s="13">
        <v>6144.4444444444443</v>
      </c>
      <c r="D19" s="13">
        <v>6243.75</v>
      </c>
      <c r="E19" s="14">
        <f t="shared" si="0"/>
        <v>1.6161844484629171</v>
      </c>
      <c r="F19" s="15">
        <f t="shared" si="1"/>
        <v>50.711206896551829</v>
      </c>
      <c r="I19" s="12" t="s">
        <v>23</v>
      </c>
      <c r="J19" s="13">
        <v>9318.8125</v>
      </c>
      <c r="K19" s="13">
        <v>15950</v>
      </c>
      <c r="L19" s="13">
        <v>15400</v>
      </c>
      <c r="M19" s="14">
        <f t="shared" si="2"/>
        <v>-3.448275862068968</v>
      </c>
      <c r="N19" s="15">
        <f t="shared" si="3"/>
        <v>65.257107598205238</v>
      </c>
      <c r="O19" s="17"/>
      <c r="P19" s="17"/>
      <c r="Q19" s="17"/>
    </row>
    <row r="20" spans="1:17" x14ac:dyDescent="0.25">
      <c r="A20" s="12" t="s">
        <v>24</v>
      </c>
      <c r="B20" s="13">
        <v>4579.1666666666697</v>
      </c>
      <c r="C20" s="13">
        <v>6800.875</v>
      </c>
      <c r="D20" s="13">
        <v>5602</v>
      </c>
      <c r="E20" s="14">
        <f t="shared" si="0"/>
        <v>-17.628246365357398</v>
      </c>
      <c r="F20" s="15">
        <f t="shared" si="1"/>
        <v>22.33666969972694</v>
      </c>
      <c r="I20" s="12" t="s">
        <v>24</v>
      </c>
      <c r="J20" s="13">
        <v>9326.6666666666697</v>
      </c>
      <c r="K20" s="13">
        <v>16754.6875</v>
      </c>
      <c r="L20" s="13">
        <v>14311.111111111111</v>
      </c>
      <c r="M20" s="14">
        <f t="shared" si="2"/>
        <v>-14.584434289740642</v>
      </c>
      <c r="N20" s="15">
        <f t="shared" si="3"/>
        <v>53.442935430069042</v>
      </c>
      <c r="O20" s="17"/>
      <c r="P20" s="17"/>
      <c r="Q20" s="17"/>
    </row>
    <row r="21" spans="1:17" x14ac:dyDescent="0.25">
      <c r="A21" s="12" t="s">
        <v>25</v>
      </c>
      <c r="B21" s="13">
        <v>4432.1428571428596</v>
      </c>
      <c r="C21" s="13">
        <v>6900</v>
      </c>
      <c r="D21" s="13">
        <v>5787.5</v>
      </c>
      <c r="E21" s="14">
        <f t="shared" si="0"/>
        <v>-16.123188405797109</v>
      </c>
      <c r="F21" s="15">
        <f t="shared" si="1"/>
        <v>30.580177276389918</v>
      </c>
      <c r="I21" s="12" t="s">
        <v>25</v>
      </c>
      <c r="J21" s="13">
        <v>8833.3333333333303</v>
      </c>
      <c r="K21" s="13">
        <v>15856.25</v>
      </c>
      <c r="L21" s="13">
        <v>14418.181818181818</v>
      </c>
      <c r="M21" s="14">
        <f>L21/K21*100-100</f>
        <v>-9.069409108825738</v>
      </c>
      <c r="N21" s="15">
        <f t="shared" si="3"/>
        <v>63.224699828473462</v>
      </c>
      <c r="O21" s="17"/>
      <c r="P21" s="17"/>
      <c r="Q21" s="17"/>
    </row>
    <row r="22" spans="1:17" x14ac:dyDescent="0.25">
      <c r="A22" s="12" t="s">
        <v>26</v>
      </c>
      <c r="B22" s="13">
        <v>4195.4545454545496</v>
      </c>
      <c r="C22" s="13">
        <v>6375</v>
      </c>
      <c r="D22" s="13">
        <v>6194.4444444444443</v>
      </c>
      <c r="E22" s="14">
        <f t="shared" si="0"/>
        <v>-2.8322440087145964</v>
      </c>
      <c r="F22" s="15">
        <f t="shared" si="1"/>
        <v>47.646563139520737</v>
      </c>
      <c r="I22" s="12" t="s">
        <v>26</v>
      </c>
      <c r="J22" s="13">
        <v>9346.4785714285699</v>
      </c>
      <c r="K22" s="13">
        <v>15325</v>
      </c>
      <c r="L22" s="13">
        <v>14505.555555555555</v>
      </c>
      <c r="M22" s="14">
        <f t="shared" si="2"/>
        <v>-5.3471089360159567</v>
      </c>
      <c r="N22" s="15">
        <f t="shared" si="3"/>
        <v>55.198082836223108</v>
      </c>
      <c r="O22" s="17"/>
      <c r="P22" s="17"/>
      <c r="Q22" s="17"/>
    </row>
    <row r="23" spans="1:17" x14ac:dyDescent="0.25">
      <c r="A23" s="12" t="s">
        <v>27</v>
      </c>
      <c r="B23" s="13">
        <v>3630</v>
      </c>
      <c r="C23" s="13">
        <v>6511.1111111111104</v>
      </c>
      <c r="D23" s="13">
        <v>6092.8571428571431</v>
      </c>
      <c r="E23" s="14">
        <f t="shared" si="0"/>
        <v>-6.4236957581667298</v>
      </c>
      <c r="F23" s="15">
        <f t="shared" si="1"/>
        <v>67.847304210940592</v>
      </c>
      <c r="I23" s="12" t="s">
        <v>27</v>
      </c>
      <c r="J23" s="13">
        <v>8982.2222222222208</v>
      </c>
      <c r="K23" s="13">
        <v>14677.142857142857</v>
      </c>
      <c r="L23" s="13">
        <v>14111.666666666701</v>
      </c>
      <c r="M23" s="14">
        <f t="shared" si="2"/>
        <v>-3.852767503730874</v>
      </c>
      <c r="N23" s="15">
        <f t="shared" si="3"/>
        <v>57.106630380999889</v>
      </c>
      <c r="O23" s="17"/>
      <c r="P23" s="17"/>
      <c r="Q23" s="17"/>
    </row>
    <row r="24" spans="1:17" x14ac:dyDescent="0.25">
      <c r="A24" s="12" t="s">
        <v>28</v>
      </c>
      <c r="B24" s="13">
        <v>4186.6666666666697</v>
      </c>
      <c r="C24" s="13">
        <v>7000</v>
      </c>
      <c r="D24" s="13">
        <v>6750</v>
      </c>
      <c r="E24" s="14">
        <f t="shared" si="0"/>
        <v>-3.5714285714285694</v>
      </c>
      <c r="F24" s="15">
        <f t="shared" si="1"/>
        <v>61.226114649681421</v>
      </c>
      <c r="I24" s="12" t="s">
        <v>28</v>
      </c>
      <c r="J24" s="13">
        <v>9266.1818181818198</v>
      </c>
      <c r="K24" s="13">
        <v>15650</v>
      </c>
      <c r="L24" s="13">
        <v>14375</v>
      </c>
      <c r="M24" s="14">
        <f t="shared" si="2"/>
        <v>-8.1469648562300279</v>
      </c>
      <c r="N24" s="15">
        <f t="shared" si="3"/>
        <v>55.134016168275622</v>
      </c>
      <c r="O24" s="17"/>
      <c r="P24" s="17"/>
      <c r="Q24" s="17"/>
    </row>
    <row r="25" spans="1:17" x14ac:dyDescent="0.25">
      <c r="A25" s="12" t="s">
        <v>29</v>
      </c>
      <c r="B25" s="13">
        <v>4695.47</v>
      </c>
      <c r="C25" s="13">
        <v>6890</v>
      </c>
      <c r="D25" s="13">
        <v>5431.25</v>
      </c>
      <c r="E25" s="14">
        <f t="shared" si="0"/>
        <v>-21.171988388969524</v>
      </c>
      <c r="F25" s="15">
        <f t="shared" si="1"/>
        <v>15.669996826728735</v>
      </c>
      <c r="I25" s="12" t="s">
        <v>29</v>
      </c>
      <c r="J25" s="13">
        <v>7939.1666666666697</v>
      </c>
      <c r="K25" s="13">
        <v>16523</v>
      </c>
      <c r="L25" s="13">
        <v>14062.5</v>
      </c>
      <c r="M25" s="14">
        <f t="shared" si="2"/>
        <v>-14.891363553834054</v>
      </c>
      <c r="N25" s="15">
        <f t="shared" si="3"/>
        <v>77.128162065707926</v>
      </c>
      <c r="O25" s="17"/>
      <c r="P25" s="17"/>
      <c r="Q25" s="17"/>
    </row>
    <row r="26" spans="1:17" x14ac:dyDescent="0.25">
      <c r="A26" s="7" t="s">
        <v>30</v>
      </c>
      <c r="B26" s="8">
        <v>3847.9201372549019</v>
      </c>
      <c r="C26" s="8">
        <v>6961.9067640692647</v>
      </c>
      <c r="D26" s="8">
        <v>5773.8172741933313</v>
      </c>
      <c r="E26" s="9">
        <f t="shared" si="0"/>
        <v>-17.065576000065391</v>
      </c>
      <c r="F26" s="10">
        <f t="shared" si="1"/>
        <v>50.050340657858868</v>
      </c>
      <c r="I26" s="7" t="s">
        <v>30</v>
      </c>
      <c r="J26" s="8">
        <v>9271.487589523811</v>
      </c>
      <c r="K26" s="8">
        <v>15925.958268398259</v>
      </c>
      <c r="L26" s="8">
        <v>13838.002220626531</v>
      </c>
      <c r="M26" s="9">
        <f t="shared" si="2"/>
        <v>-13.110395070636599</v>
      </c>
      <c r="N26" s="10">
        <f t="shared" si="3"/>
        <v>49.253311154324251</v>
      </c>
      <c r="O26" s="11"/>
      <c r="P26" s="11"/>
      <c r="Q26" s="11"/>
    </row>
    <row r="27" spans="1:17" x14ac:dyDescent="0.25">
      <c r="A27" s="12" t="s">
        <v>31</v>
      </c>
      <c r="B27" s="13">
        <v>3858.8235294117599</v>
      </c>
      <c r="C27" s="13">
        <v>7304.1666666666697</v>
      </c>
      <c r="D27" s="13">
        <v>5824.5576923076924</v>
      </c>
      <c r="E27" s="14">
        <f t="shared" si="0"/>
        <v>-20.257053841765796</v>
      </c>
      <c r="F27" s="15">
        <f t="shared" si="1"/>
        <v>50.941281660412926</v>
      </c>
      <c r="I27" s="12" t="s">
        <v>31</v>
      </c>
      <c r="J27" s="13">
        <v>9036.6666666666697</v>
      </c>
      <c r="K27" s="13">
        <v>16708.333333333299</v>
      </c>
      <c r="L27" s="13">
        <v>13981.25</v>
      </c>
      <c r="M27" s="14">
        <f>L27/K27*100-100</f>
        <v>-16.321695760598331</v>
      </c>
      <c r="N27" s="15">
        <f t="shared" si="3"/>
        <v>54.716894135005475</v>
      </c>
      <c r="O27" s="17"/>
      <c r="P27" s="17"/>
      <c r="Q27" s="17"/>
    </row>
    <row r="28" spans="1:17" x14ac:dyDescent="0.25">
      <c r="A28" s="12" t="s">
        <v>32</v>
      </c>
      <c r="B28" s="13">
        <v>3586.6666666666702</v>
      </c>
      <c r="C28" s="13">
        <v>6338.75</v>
      </c>
      <c r="D28" s="13">
        <v>5857.083333333333</v>
      </c>
      <c r="E28" s="14">
        <f t="shared" si="0"/>
        <v>-7.5987642148162848</v>
      </c>
      <c r="F28" s="15">
        <f t="shared" si="1"/>
        <v>63.301579925650401</v>
      </c>
      <c r="I28" s="12" t="s">
        <v>32</v>
      </c>
      <c r="J28" s="13">
        <v>9856.7857142857101</v>
      </c>
      <c r="K28" s="13">
        <v>16334.583333333299</v>
      </c>
      <c r="L28" s="13">
        <v>14011.361588541668</v>
      </c>
      <c r="M28" s="14">
        <f t="shared" si="2"/>
        <v>-14.222718127439038</v>
      </c>
      <c r="N28" s="15">
        <f t="shared" si="3"/>
        <v>42.149398340217715</v>
      </c>
      <c r="O28" s="17"/>
      <c r="P28" s="17"/>
      <c r="Q28" s="17"/>
    </row>
    <row r="29" spans="1:17" x14ac:dyDescent="0.25">
      <c r="A29" s="12" t="s">
        <v>33</v>
      </c>
      <c r="B29" s="13">
        <v>4050.3850000000002</v>
      </c>
      <c r="C29" s="13">
        <v>7590.7857142857101</v>
      </c>
      <c r="D29" s="13">
        <v>5814.0178571428569</v>
      </c>
      <c r="E29" s="14">
        <f t="shared" si="0"/>
        <v>-23.406903106209555</v>
      </c>
      <c r="F29" s="15">
        <f t="shared" si="1"/>
        <v>43.542351088670756</v>
      </c>
      <c r="I29" s="12" t="s">
        <v>33</v>
      </c>
      <c r="J29" s="13">
        <v>9198.75</v>
      </c>
      <c r="K29" s="13">
        <v>14543.392857142901</v>
      </c>
      <c r="L29" s="13">
        <v>14177.91796875</v>
      </c>
      <c r="M29" s="14">
        <f t="shared" si="2"/>
        <v>-2.5129960524541559</v>
      </c>
      <c r="N29" s="15">
        <f t="shared" si="3"/>
        <v>54.128745413779058</v>
      </c>
      <c r="O29" s="17"/>
      <c r="P29" s="17"/>
      <c r="Q29" s="17"/>
    </row>
    <row r="30" spans="1:17" x14ac:dyDescent="0.25">
      <c r="A30" s="12" t="s">
        <v>34</v>
      </c>
      <c r="B30" s="13">
        <v>3846.6666666666702</v>
      </c>
      <c r="C30" s="13">
        <v>6825.2272727272702</v>
      </c>
      <c r="D30" s="13">
        <v>5729.1333705357147</v>
      </c>
      <c r="E30" s="14">
        <f t="shared" si="0"/>
        <v>-16.059449134703627</v>
      </c>
      <c r="F30" s="15">
        <f t="shared" si="1"/>
        <v>48.937609286023644</v>
      </c>
      <c r="I30" s="12" t="s">
        <v>34</v>
      </c>
      <c r="J30" s="13">
        <v>9198.5689000000002</v>
      </c>
      <c r="K30" s="13">
        <v>15824.4318181818</v>
      </c>
      <c r="L30" s="13">
        <v>13411.393310546875</v>
      </c>
      <c r="M30" s="14">
        <f t="shared" si="2"/>
        <v>-15.248816105121804</v>
      </c>
      <c r="N30" s="15">
        <f t="shared" si="3"/>
        <v>45.798693865812936</v>
      </c>
      <c r="O30" s="17"/>
      <c r="P30" s="17"/>
      <c r="Q30" s="17"/>
    </row>
    <row r="31" spans="1:17" x14ac:dyDescent="0.25">
      <c r="A31" s="12" t="s">
        <v>35</v>
      </c>
      <c r="B31" s="13">
        <v>3897.0588235294099</v>
      </c>
      <c r="C31" s="13">
        <v>6750.6041666666697</v>
      </c>
      <c r="D31" s="13">
        <v>5644.2941176470586</v>
      </c>
      <c r="E31" s="14">
        <f t="shared" si="0"/>
        <v>-16.388311648939236</v>
      </c>
      <c r="F31" s="15">
        <f t="shared" si="1"/>
        <v>44.834716981132118</v>
      </c>
      <c r="I31" s="12" t="s">
        <v>35</v>
      </c>
      <c r="J31" s="13">
        <v>9066.6666666666697</v>
      </c>
      <c r="K31" s="13">
        <v>16219.05</v>
      </c>
      <c r="L31" s="13">
        <v>13608.088235294117</v>
      </c>
      <c r="M31" s="14">
        <f t="shared" si="2"/>
        <v>-16.098117736278525</v>
      </c>
      <c r="N31" s="15">
        <f t="shared" si="3"/>
        <v>50.089208477508606</v>
      </c>
      <c r="O31" s="17"/>
      <c r="P31" s="17"/>
      <c r="Q31" s="17"/>
    </row>
    <row r="32" spans="1:17" x14ac:dyDescent="0.25">
      <c r="A32" s="7" t="s">
        <v>36</v>
      </c>
      <c r="B32" s="8">
        <v>3970.2730928330934</v>
      </c>
      <c r="C32" s="8">
        <v>7057.0370370370365</v>
      </c>
      <c r="D32" s="8">
        <v>5654.0410052910056</v>
      </c>
      <c r="E32" s="9">
        <f t="shared" si="0"/>
        <v>-19.880808679092496</v>
      </c>
      <c r="F32" s="10">
        <f t="shared" si="1"/>
        <v>42.409372682633659</v>
      </c>
      <c r="I32" s="7" t="s">
        <v>36</v>
      </c>
      <c r="J32" s="8">
        <v>9532.4889636432417</v>
      </c>
      <c r="K32" s="8">
        <v>16272.944444444433</v>
      </c>
      <c r="L32" s="8">
        <v>14294.618055555557</v>
      </c>
      <c r="M32" s="9">
        <f t="shared" si="2"/>
        <v>-12.157150758074849</v>
      </c>
      <c r="N32" s="10">
        <f t="shared" si="3"/>
        <v>49.956827750601121</v>
      </c>
      <c r="O32" s="11"/>
      <c r="P32" s="11"/>
      <c r="Q32" s="11"/>
    </row>
    <row r="33" spans="1:17" x14ac:dyDescent="0.25">
      <c r="A33" s="12" t="s">
        <v>37</v>
      </c>
      <c r="B33" s="13">
        <v>4095.45454545455</v>
      </c>
      <c r="C33" s="13">
        <v>6597.2222222222199</v>
      </c>
      <c r="D33" s="13">
        <v>5950</v>
      </c>
      <c r="E33" s="14">
        <f t="shared" si="0"/>
        <v>-9.8105263157894456</v>
      </c>
      <c r="F33" s="15">
        <f t="shared" si="1"/>
        <v>45.283018867924369</v>
      </c>
      <c r="I33" s="12" t="s">
        <v>37</v>
      </c>
      <c r="J33" s="13">
        <v>8993.8888888888905</v>
      </c>
      <c r="K33" s="13">
        <v>16319.333333333299</v>
      </c>
      <c r="L33" s="13">
        <v>14875</v>
      </c>
      <c r="M33" s="14">
        <f t="shared" si="2"/>
        <v>-8.8504432370601478</v>
      </c>
      <c r="N33" s="15">
        <f t="shared" si="3"/>
        <v>65.390079683735848</v>
      </c>
      <c r="O33" s="17"/>
      <c r="P33" s="17"/>
      <c r="Q33" s="17"/>
    </row>
    <row r="34" spans="1:17" x14ac:dyDescent="0.25">
      <c r="A34" s="12" t="s">
        <v>38</v>
      </c>
      <c r="B34" s="13">
        <v>4627.7777777777801</v>
      </c>
      <c r="C34" s="13">
        <v>6525</v>
      </c>
      <c r="D34" s="13">
        <v>5572.2222222222226</v>
      </c>
      <c r="E34" s="14">
        <f t="shared" si="0"/>
        <v>-14.601958280119192</v>
      </c>
      <c r="F34" s="15">
        <f t="shared" si="1"/>
        <v>20.408163265306072</v>
      </c>
      <c r="I34" s="12" t="s">
        <v>38</v>
      </c>
      <c r="J34" s="13">
        <v>9878.4242630385997</v>
      </c>
      <c r="K34" s="13">
        <v>16612.5</v>
      </c>
      <c r="L34" s="13">
        <v>14337.5</v>
      </c>
      <c r="M34" s="14">
        <f t="shared" si="2"/>
        <v>-13.69450714823175</v>
      </c>
      <c r="N34" s="15">
        <f t="shared" si="3"/>
        <v>45.139544711048785</v>
      </c>
      <c r="O34" s="17"/>
      <c r="P34" s="17"/>
      <c r="Q34" s="17"/>
    </row>
    <row r="35" spans="1:17" x14ac:dyDescent="0.25">
      <c r="A35" s="12" t="s">
        <v>39</v>
      </c>
      <c r="B35" s="13">
        <v>4392.8571428571404</v>
      </c>
      <c r="C35" s="13">
        <v>7420</v>
      </c>
      <c r="D35" s="13">
        <v>5707.7777777777774</v>
      </c>
      <c r="E35" s="14">
        <f t="shared" si="0"/>
        <v>-23.075771188978749</v>
      </c>
      <c r="F35" s="15">
        <f t="shared" si="1"/>
        <v>29.933152664860046</v>
      </c>
      <c r="I35" s="12" t="s">
        <v>39</v>
      </c>
      <c r="J35" s="13">
        <v>10175.331972789099</v>
      </c>
      <c r="K35" s="13">
        <v>16888.888888888901</v>
      </c>
      <c r="L35" s="13">
        <v>14555.625</v>
      </c>
      <c r="M35" s="14">
        <f t="shared" si="2"/>
        <v>-13.815378289473742</v>
      </c>
      <c r="N35" s="15">
        <f t="shared" si="3"/>
        <v>43.048158418071182</v>
      </c>
      <c r="O35" s="17"/>
      <c r="P35" s="17"/>
      <c r="Q35" s="17"/>
    </row>
    <row r="36" spans="1:17" x14ac:dyDescent="0.25">
      <c r="A36" s="12" t="s">
        <v>40</v>
      </c>
      <c r="B36" s="13">
        <v>3518.75</v>
      </c>
      <c r="C36" s="13">
        <v>6883.3333333333303</v>
      </c>
      <c r="D36" s="13">
        <v>5392.8571428571431</v>
      </c>
      <c r="E36" s="14">
        <f t="shared" si="0"/>
        <v>-21.653407125562055</v>
      </c>
      <c r="F36" s="15">
        <f t="shared" si="1"/>
        <v>53.260593757929456</v>
      </c>
      <c r="I36" s="12" t="s">
        <v>40</v>
      </c>
      <c r="J36" s="13">
        <v>9510.7142857142899</v>
      </c>
      <c r="K36" s="13">
        <v>16058.333333333299</v>
      </c>
      <c r="L36" s="13">
        <v>13795</v>
      </c>
      <c r="M36" s="14">
        <f t="shared" si="2"/>
        <v>-14.094447327451817</v>
      </c>
      <c r="N36" s="15">
        <f t="shared" si="3"/>
        <v>45.046939541869989</v>
      </c>
      <c r="O36" s="17"/>
      <c r="P36" s="17"/>
      <c r="Q36" s="17"/>
    </row>
    <row r="37" spans="1:17" x14ac:dyDescent="0.25">
      <c r="A37" s="12" t="s">
        <v>41</v>
      </c>
      <c r="B37" s="13">
        <v>3555.89</v>
      </c>
      <c r="C37" s="13">
        <v>7750</v>
      </c>
      <c r="D37" s="13">
        <v>5572.2222222222226</v>
      </c>
      <c r="E37" s="14">
        <f t="shared" si="0"/>
        <v>-28.100358422939067</v>
      </c>
      <c r="F37" s="15">
        <f t="shared" si="1"/>
        <v>56.704010029056661</v>
      </c>
      <c r="I37" s="12" t="s">
        <v>41</v>
      </c>
      <c r="J37" s="13">
        <v>9146.4285714285706</v>
      </c>
      <c r="K37" s="13">
        <v>15877.5</v>
      </c>
      <c r="L37" s="13">
        <v>13971.666666666666</v>
      </c>
      <c r="M37" s="14">
        <f t="shared" si="2"/>
        <v>-12.003359051068074</v>
      </c>
      <c r="N37" s="15">
        <f t="shared" si="3"/>
        <v>52.755434075231051</v>
      </c>
      <c r="O37" s="17"/>
      <c r="P37" s="17"/>
      <c r="Q37" s="17"/>
    </row>
    <row r="38" spans="1:17" x14ac:dyDescent="0.25">
      <c r="A38" s="12" t="s">
        <v>42</v>
      </c>
      <c r="B38" s="13">
        <v>3630.909090909091</v>
      </c>
      <c r="C38" s="13">
        <v>7166.6666666666697</v>
      </c>
      <c r="D38" s="13">
        <v>5729.166666666667</v>
      </c>
      <c r="E38" s="14">
        <f t="shared" si="0"/>
        <v>-20.05813953488375</v>
      </c>
      <c r="F38" s="15">
        <f t="shared" si="1"/>
        <v>57.788766483057941</v>
      </c>
      <c r="I38" s="12" t="s">
        <v>42</v>
      </c>
      <c r="J38" s="13">
        <v>9490.1458000000002</v>
      </c>
      <c r="K38" s="13">
        <v>15881.1111111111</v>
      </c>
      <c r="L38" s="13">
        <v>14232.916666666666</v>
      </c>
      <c r="M38" s="14">
        <f t="shared" si="2"/>
        <v>-10.378332050654109</v>
      </c>
      <c r="N38" s="15">
        <f t="shared" si="3"/>
        <v>49.975742908677603</v>
      </c>
      <c r="O38" s="17"/>
      <c r="P38" s="17"/>
      <c r="Q38" s="17"/>
    </row>
    <row r="39" spans="1:17" x14ac:dyDescent="0.25">
      <c r="A39" s="7" t="s">
        <v>43</v>
      </c>
      <c r="B39" s="8">
        <v>3711.2159147869666</v>
      </c>
      <c r="C39" s="8">
        <v>7241.666666666667</v>
      </c>
      <c r="D39" s="8">
        <v>5864.6415165716635</v>
      </c>
      <c r="E39" s="9">
        <f t="shared" si="0"/>
        <v>-19.015307020874616</v>
      </c>
      <c r="F39" s="10">
        <f t="shared" si="1"/>
        <v>58.024799721422539</v>
      </c>
      <c r="I39" s="7" t="s">
        <v>43</v>
      </c>
      <c r="J39" s="8">
        <v>9335.0045449494937</v>
      </c>
      <c r="K39" s="8">
        <v>15743.333333333334</v>
      </c>
      <c r="L39" s="8">
        <v>14300.582837301588</v>
      </c>
      <c r="M39" s="9">
        <f t="shared" si="2"/>
        <v>-9.1641996360263249</v>
      </c>
      <c r="N39" s="10">
        <f t="shared" si="3"/>
        <v>53.19309989022571</v>
      </c>
      <c r="O39" s="11"/>
      <c r="P39" s="11"/>
      <c r="Q39" s="11"/>
    </row>
    <row r="40" spans="1:17" x14ac:dyDescent="0.25">
      <c r="A40" s="12" t="s">
        <v>44</v>
      </c>
      <c r="B40" s="13">
        <v>3293.3333333333298</v>
      </c>
      <c r="C40" s="13">
        <v>7300</v>
      </c>
      <c r="D40" s="13">
        <v>5828.125</v>
      </c>
      <c r="E40" s="14">
        <f t="shared" si="0"/>
        <v>-20.162671232876718</v>
      </c>
      <c r="F40" s="15">
        <f t="shared" si="1"/>
        <v>76.967358299595332</v>
      </c>
      <c r="I40" s="12" t="s">
        <v>44</v>
      </c>
      <c r="J40" s="13">
        <v>9199.625</v>
      </c>
      <c r="K40" s="13">
        <v>15860</v>
      </c>
      <c r="L40" s="13">
        <v>14379.6875</v>
      </c>
      <c r="M40" s="14">
        <f t="shared" si="2"/>
        <v>-9.333622320302652</v>
      </c>
      <c r="N40" s="15">
        <f t="shared" si="3"/>
        <v>56.307322309333273</v>
      </c>
      <c r="O40" s="17"/>
      <c r="P40" s="17"/>
      <c r="Q40" s="17"/>
    </row>
    <row r="41" spans="1:17" ht="17.45" customHeight="1" x14ac:dyDescent="0.25">
      <c r="A41" s="12" t="s">
        <v>45</v>
      </c>
      <c r="B41" s="13">
        <v>4298.8095238095202</v>
      </c>
      <c r="C41" s="13">
        <v>7500</v>
      </c>
      <c r="D41" s="13">
        <v>6060.588235294118</v>
      </c>
      <c r="E41" s="14">
        <f t="shared" si="0"/>
        <v>-19.192156862745094</v>
      </c>
      <c r="F41" s="15">
        <f t="shared" si="1"/>
        <v>40.982944271588565</v>
      </c>
      <c r="I41" s="12" t="s">
        <v>45</v>
      </c>
      <c r="J41" s="13">
        <v>9565.5812999999998</v>
      </c>
      <c r="K41" s="13">
        <v>15500</v>
      </c>
      <c r="L41" s="13">
        <v>14408.333333333334</v>
      </c>
      <c r="M41" s="14">
        <f t="shared" si="2"/>
        <v>-7.0430107526881756</v>
      </c>
      <c r="N41" s="15">
        <f t="shared" si="3"/>
        <v>50.626845159251701</v>
      </c>
      <c r="O41" s="17"/>
      <c r="P41" s="17"/>
      <c r="Q41" s="17"/>
    </row>
    <row r="42" spans="1:17" x14ac:dyDescent="0.25">
      <c r="A42" s="12" t="s">
        <v>46</v>
      </c>
      <c r="B42" s="13">
        <v>3661.0526315789498</v>
      </c>
      <c r="C42" s="13">
        <v>7000</v>
      </c>
      <c r="D42" s="13">
        <v>6021.5384615384619</v>
      </c>
      <c r="E42" s="14">
        <f t="shared" si="0"/>
        <v>-13.978021978021971</v>
      </c>
      <c r="F42" s="15">
        <f t="shared" si="1"/>
        <v>64.475604901136705</v>
      </c>
      <c r="I42" s="12" t="s">
        <v>46</v>
      </c>
      <c r="J42" s="13">
        <v>9885.1239999999998</v>
      </c>
      <c r="K42" s="13">
        <v>14800</v>
      </c>
      <c r="L42" s="13">
        <v>14850</v>
      </c>
      <c r="M42" s="14">
        <f t="shared" si="2"/>
        <v>0.3378378378378244</v>
      </c>
      <c r="N42" s="15">
        <f t="shared" si="3"/>
        <v>50.225733131926319</v>
      </c>
      <c r="O42" s="17"/>
      <c r="P42" s="17"/>
      <c r="Q42" s="17"/>
    </row>
    <row r="43" spans="1:17" x14ac:dyDescent="0.25">
      <c r="A43" s="12" t="s">
        <v>47</v>
      </c>
      <c r="B43" s="13">
        <v>3285</v>
      </c>
      <c r="C43" s="13">
        <v>6500</v>
      </c>
      <c r="D43" s="13">
        <v>5800</v>
      </c>
      <c r="E43" s="14">
        <f t="shared" si="0"/>
        <v>-10.769230769230759</v>
      </c>
      <c r="F43" s="15">
        <f t="shared" si="1"/>
        <v>76.560121765601195</v>
      </c>
      <c r="I43" s="12" t="s">
        <v>47</v>
      </c>
      <c r="J43" s="13">
        <v>9098.8636363636397</v>
      </c>
      <c r="K43" s="13">
        <v>15800</v>
      </c>
      <c r="L43" s="13">
        <v>14132.142857142857</v>
      </c>
      <c r="M43" s="14">
        <f t="shared" si="2"/>
        <v>-10.55605786618446</v>
      </c>
      <c r="N43" s="15">
        <f t="shared" si="3"/>
        <v>55.317668468661282</v>
      </c>
      <c r="O43" s="17"/>
      <c r="P43" s="17"/>
      <c r="Q43" s="17"/>
    </row>
    <row r="44" spans="1:17" x14ac:dyDescent="0.25">
      <c r="A44" s="12" t="s">
        <v>48</v>
      </c>
      <c r="B44" s="13">
        <v>3598.65</v>
      </c>
      <c r="C44" s="13">
        <v>7800</v>
      </c>
      <c r="D44" s="13">
        <v>5682.1428571428569</v>
      </c>
      <c r="E44" s="14">
        <f t="shared" si="0"/>
        <v>-27.152014652014657</v>
      </c>
      <c r="F44" s="15">
        <f t="shared" si="1"/>
        <v>57.896512779593934</v>
      </c>
      <c r="I44" s="12" t="s">
        <v>48</v>
      </c>
      <c r="J44" s="13">
        <v>9153.3333333333303</v>
      </c>
      <c r="K44" s="13">
        <v>16500</v>
      </c>
      <c r="L44" s="13">
        <v>13729.166666666666</v>
      </c>
      <c r="M44" s="14">
        <f t="shared" si="2"/>
        <v>-16.792929292929287</v>
      </c>
      <c r="N44" s="15">
        <f t="shared" si="3"/>
        <v>49.990895848506966</v>
      </c>
      <c r="O44" s="17"/>
      <c r="P44" s="17"/>
      <c r="Q44" s="17"/>
    </row>
    <row r="45" spans="1:17" x14ac:dyDescent="0.25">
      <c r="A45" s="12" t="s">
        <v>49</v>
      </c>
      <c r="B45">
        <v>4130.45</v>
      </c>
      <c r="C45" s="13">
        <v>7350</v>
      </c>
      <c r="D45" s="13">
        <v>5795.454545454545</v>
      </c>
      <c r="E45" s="14">
        <f t="shared" si="0"/>
        <v>-21.150278293135443</v>
      </c>
      <c r="F45" s="15">
        <f t="shared" si="1"/>
        <v>40.310487851312701</v>
      </c>
      <c r="I45" s="12" t="s">
        <v>49</v>
      </c>
      <c r="J45" s="13">
        <v>9107.5</v>
      </c>
      <c r="K45" s="13">
        <v>16000</v>
      </c>
      <c r="L45" s="13">
        <v>14304.166666666666</v>
      </c>
      <c r="M45" s="14">
        <f t="shared" si="2"/>
        <v>-10.598958333333343</v>
      </c>
      <c r="N45" s="15">
        <f t="shared" si="3"/>
        <v>57.059200292798948</v>
      </c>
      <c r="O45" s="17"/>
      <c r="P45" s="17"/>
      <c r="Q45" s="17"/>
    </row>
    <row r="46" spans="1:17" x14ac:dyDescent="0.25">
      <c r="A46" s="18" t="s">
        <v>50</v>
      </c>
      <c r="B46" s="19">
        <v>4072.8705572026311</v>
      </c>
      <c r="C46" s="19">
        <v>6966.0292495417498</v>
      </c>
      <c r="D46" s="19">
        <v>5974.554661854575</v>
      </c>
      <c r="E46" s="20">
        <f t="shared" si="0"/>
        <v>-14.232994898096322</v>
      </c>
      <c r="F46" s="21">
        <f t="shared" si="1"/>
        <v>46.691493823414731</v>
      </c>
      <c r="I46" s="18" t="s">
        <v>50</v>
      </c>
      <c r="J46" s="19">
        <v>9162.1096216188362</v>
      </c>
      <c r="K46" s="19">
        <v>15736.271987618322</v>
      </c>
      <c r="L46" s="19">
        <v>14261.566831685133</v>
      </c>
      <c r="M46" s="20">
        <f t="shared" si="2"/>
        <v>-9.3713756161149462</v>
      </c>
      <c r="N46" s="21">
        <f t="shared" si="3"/>
        <v>55.658111730443181</v>
      </c>
      <c r="O46" s="22"/>
      <c r="P46" s="22"/>
      <c r="Q46" s="22"/>
    </row>
    <row r="49" spans="1:1" x14ac:dyDescent="0.25">
      <c r="A49" s="23"/>
    </row>
    <row r="53" spans="1:1" x14ac:dyDescent="0.25">
      <c r="A53" s="24"/>
    </row>
    <row r="54" spans="1:1" x14ac:dyDescent="0.25">
      <c r="A54" s="23"/>
    </row>
  </sheetData>
  <mergeCells count="2">
    <mergeCell ref="A1:F1"/>
    <mergeCell ref="I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LPG JULY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 Onuorah</dc:creator>
  <cp:lastModifiedBy>crystabel isioma-obiasili</cp:lastModifiedBy>
  <dcterms:created xsi:type="dcterms:W3CDTF">2024-08-18T09:30:02Z</dcterms:created>
  <dcterms:modified xsi:type="dcterms:W3CDTF">2025-12-11T15:41:51Z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ca83d2b8864648589877f476bbe9096b</vt:lpwstr>
  </property>
</Properties>
</file>