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34"/>
  <workbookPr defaultThemeVersion="166925"/>
  <bookViews>
    <workbookView xWindow="-120" yWindow="-120" windowWidth="20730" windowHeight="11160" activeTab="1"/>
  </bookViews>
  <sheets>
    <sheet name="LPG JULY 2024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<sst xmlns="http://schemas.openxmlformats.org/spreadsheetml/2006/main" uniqueCount="54" count="54">
  <si>
    <t>5KG</t>
  </si>
  <si>
    <t>12.5KG</t>
  </si>
  <si>
    <t>Average of Jul-23</t>
  </si>
  <si>
    <t>Average of Jun-24</t>
  </si>
  <si>
    <t>Average of Jul-24</t>
  </si>
  <si>
    <t>MoM</t>
  </si>
  <si>
    <t>YoY</t>
  </si>
  <si>
    <t>NORTH CENTRAL</t>
  </si>
  <si>
    <t>Abuja</t>
  </si>
  <si>
    <t>Benue</t>
  </si>
  <si>
    <t>Kogi</t>
  </si>
  <si>
    <t>Kwara</t>
  </si>
  <si>
    <t>Nasarawa</t>
  </si>
  <si>
    <t>Niger</t>
  </si>
  <si>
    <t>Plateau</t>
  </si>
  <si>
    <t>NORTH EAST</t>
  </si>
  <si>
    <t>Adamawa</t>
  </si>
  <si>
    <t>Bauchi</t>
  </si>
  <si>
    <t>Borno</t>
  </si>
  <si>
    <t>Gombe</t>
  </si>
  <si>
    <t>Taraba</t>
  </si>
  <si>
    <t>Yobe</t>
  </si>
  <si>
    <t>NORTH WEST</t>
  </si>
  <si>
    <t>Jigawa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</si>
  <si>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</si>
  <si>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</si>
  <si>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</si>
  <si>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</si>
  <si>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</si>
  <si>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</si>
  <si>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</si>
  <si>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</si>
  <si>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</si>
  <si>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</si>
  <si>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</si>
  <si>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</si>
  <si>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</si>
  <si>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</si>
  <si>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</si>
  <si>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</si>
  <si>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</si>
  <si>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</si>
  <si>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</si>
  <si>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</si>
  <si>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</si>
  <si>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</si>
  <si>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</si>
  <si>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</si>
  <si>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</si>
  <si>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</si>
  <si>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Average</t>
  </si>
  <si>
    <t>STATES WITH THE HIGHEST AVERAGE PRICES</t>
  </si>
  <si>
    <t>STATES WITH THE LOWEST AVERAGE PRICES</t>
  </si>
  <si>
    <t>Nassarawa</t>
  </si>
</sst>
</file>

<file path=xl/styles.xml><?xml version="1.0" encoding="utf-8"?>
<styleSheet xmlns="http://schemas.openxmlformats.org/spreadsheetml/2006/main">
  <numFmts count="3">
    <numFmt numFmtId="0" formatCode="General"/>
    <numFmt numFmtId="2" formatCode="0.00"/>
    <numFmt numFmtId="43" formatCode="_-* #,##0.00_-;\-* #,##0.00_-;_-* &quot;-&quot;??_-;_-@_-"/>
  </numFmts>
  <fonts count="10">
    <font>
      <name val="Calibri"/>
      <sz val="11"/>
    </font>
    <font>
      <name val="Calibri"/>
      <b/>
      <sz val="11"/>
    </font>
    <font>
      <name val="Calibri"/>
      <sz val="11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sz val="11"/>
    </font>
    <font>
      <name val="Calibri"/>
      <sz val="11"/>
      <color rgb="FF000000"/>
    </font>
    <font>
      <name val="Calibri"/>
      <b/>
      <sz val="11"/>
      <color indexed="8"/>
    </font>
    <font>
      <name val="Calibri"/>
      <sz val="11"/>
      <color indexed="8"/>
    </font>
    <font>
      <name val="Arial"/>
      <sz val="10"/>
      <color indexed="8"/>
    </font>
  </fonts>
  <fills count="5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  <fill>
      <patternFill patternType="solid">
        <fgColor rgb="FFD5DCE4"/>
        <bgColor rgb="FFD9E3F3"/>
      </patternFill>
    </fill>
    <fill>
      <patternFill patternType="solid">
        <fgColor rgb="FFD9E3F3"/>
        <bgColor rgb="FFD9E3F3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8FABDB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8FABDB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5">
    <xf numFmtId="0" fontId="0" fillId="0" borderId="0">
      <alignment vertical="center"/>
    </xf>
    <xf numFmtId="43" fontId="6" fillId="0" borderId="0">
      <alignment vertical="bottom"/>
      <protection locked="0" hidden="0"/>
    </xf>
    <xf numFmtId="0" fontId="9" fillId="0" borderId="0">
      <alignment vertical="bottom"/>
      <protection locked="0" hidden="0"/>
    </xf>
    <xf numFmtId="0" fontId="9" fillId="0" borderId="0">
      <alignment vertical="bottom"/>
      <protection locked="0" hidden="0"/>
    </xf>
    <xf numFmtId="0" fontId="9" fillId="0" borderId="0">
      <alignment vertical="bottom"/>
      <protection locked="0" hidden="0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bottom"/>
    </xf>
    <xf numFmtId="0" fontId="3" fillId="3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1"/>
    </xf>
    <xf numFmtId="2" fontId="3" fillId="0" borderId="8" xfId="0" applyNumberFormat="1" applyFont="1" applyBorder="1">
      <alignment vertical="center"/>
    </xf>
    <xf numFmtId="2" fontId="1" fillId="0" borderId="0" xfId="0" applyNumberFormat="1" applyFont="1">
      <alignment vertical="center"/>
    </xf>
    <xf numFmtId="2" fontId="1" fillId="0" borderId="9" xfId="0" applyNumberFormat="1" applyFont="1" applyBorder="1">
      <alignment vertical="center"/>
    </xf>
    <xf numFmtId="43" fontId="4" fillId="0" borderId="8" xfId="1" applyFont="1" applyBorder="1" applyAlignment="1">
      <alignment vertical="top"/>
    </xf>
    <xf numFmtId="0" fontId="2" fillId="0" borderId="7" xfId="0" applyBorder="1" applyAlignment="1">
      <alignment horizontal="left" vertical="center" indent="2"/>
    </xf>
    <xf numFmtId="2" fontId="2" fillId="0" borderId="0" xfId="0" applyNumberFormat="1">
      <alignment vertical="center"/>
    </xf>
    <xf numFmtId="2" fontId="5" fillId="0" borderId="0" xfId="0" applyNumberFormat="1" applyFont="1">
      <alignment vertical="center"/>
    </xf>
    <xf numFmtId="2" fontId="5" fillId="0" borderId="9" xfId="0" applyNumberFormat="1" applyFont="1" applyBorder="1">
      <alignment vertical="center"/>
    </xf>
    <xf numFmtId="0" fontId="5" fillId="0" borderId="7" xfId="0" applyFont="1" applyBorder="1" applyAlignment="1">
      <alignment horizontal="left" vertical="center" indent="2"/>
    </xf>
    <xf numFmtId="43" fontId="6" fillId="0" borderId="0" xfId="1" applyAlignment="1">
      <alignment vertical="top"/>
      <protection locked="0" hidden="0"/>
    </xf>
    <xf numFmtId="0" fontId="3" fillId="3" borderId="1" xfId="0" applyFont="1" applyFill="1" applyBorder="1" applyAlignment="1">
      <alignment horizontal="left" vertical="center"/>
    </xf>
    <xf numFmtId="2" fontId="3" fillId="3" borderId="2" xfId="0" applyNumberFormat="1" applyFont="1" applyFill="1" applyBorder="1">
      <alignment vertical="center"/>
    </xf>
    <xf numFmtId="2" fontId="1" fillId="2" borderId="2" xfId="0" applyNumberFormat="1" applyFont="1" applyFill="1" applyBorder="1">
      <alignment vertical="center"/>
    </xf>
    <xf numFmtId="2" fontId="1" fillId="2" borderId="3" xfId="0" applyNumberFormat="1" applyFont="1" applyFill="1" applyBorder="1">
      <alignment vertical="center"/>
    </xf>
    <xf numFmtId="43" fontId="4" fillId="4" borderId="10" xfId="1" applyFont="1" applyFill="1" applyBorder="1" applyAlignment="1">
      <alignment vertical="top"/>
    </xf>
    <xf numFmtId="0" fontId="7" fillId="0" borderId="0" xfId="2" applyFont="1" applyAlignment="1">
      <alignment horizontal="left" vertical="bottom"/>
    </xf>
    <xf numFmtId="0" fontId="6" fillId="0" borderId="0" xfId="0" applyFont="1" applyAlignment="1">
      <alignment vertical="bottom"/>
    </xf>
    <xf numFmtId="0" fontId="8" fillId="0" borderId="11" xfId="2" applyFont="1" applyBorder="1" applyAlignment="1">
      <alignment horizontal="left" vertical="bottom" wrapText="1"/>
    </xf>
    <xf numFmtId="2" fontId="8" fillId="0" borderId="11" xfId="3" applyNumberFormat="1" applyFont="1" applyBorder="1" applyAlignment="1">
      <alignment horizontal="right" vertical="bottom" wrapText="1"/>
    </xf>
    <xf numFmtId="0" fontId="8" fillId="0" borderId="12" xfId="2" applyFont="1" applyBorder="1" applyAlignment="1">
      <alignment horizontal="left" vertical="bottom" wrapText="1"/>
    </xf>
    <xf numFmtId="2" fontId="8" fillId="0" borderId="11" xfId="4" applyNumberFormat="1" applyFont="1" applyBorder="1" applyAlignment="1">
      <alignment horizontal="right" vertical="bottom" wrapText="1"/>
    </xf>
    <xf numFmtId="2" fontId="6" fillId="0" borderId="0" xfId="0" applyNumberFormat="1" applyFont="1" applyAlignment="1">
      <alignment vertical="bottom"/>
    </xf>
  </cellXfs>
  <cellStyles count="5">
    <cellStyle name="常规" xfId="0" builtinId="0"/>
    <cellStyle name="千位分隔" xfId="1" builtinId="3"/>
    <cellStyle name="Normal_Sheet1" xfId="2"/>
    <cellStyle name="Normal_Sheet2 2" xfId="3"/>
    <cellStyle name="Normal_Sheet3" xfId="4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57"/>
  <sheetViews>
    <sheetView workbookViewId="0" topLeftCell="A33">
      <selection activeCell="A1" sqref="A1:F46"/>
    </sheetView>
  </sheetViews>
  <sheetFormatPr defaultRowHeight="15.0" defaultColWidth="10"/>
  <cols>
    <col min="1" max="1" customWidth="1" width="22.425781" style="0"/>
    <col min="2" max="2" customWidth="1" width="17.425781" style="0"/>
    <col min="3" max="3" customWidth="1" width="16.855469" style="0"/>
    <col min="4" max="4" customWidth="1" width="17.710938" style="0"/>
    <col min="9" max="9" customWidth="1" width="18.425781" style="0"/>
    <col min="10" max="10" customWidth="1" width="16.855469" style="0"/>
    <col min="11" max="11" customWidth="1" width="17.0" style="0"/>
    <col min="12" max="12" customWidth="1" width="16.855469" style="0"/>
    <col min="13" max="13" customWidth="1" width="11.140625" style="0"/>
    <col min="15" max="15" customWidth="1" width="10.855469" style="0"/>
    <col min="16" max="16" customWidth="1" width="10.7109375" style="0"/>
    <col min="17" max="17" customWidth="1" width="12.7109375" style="0"/>
  </cols>
  <sheetData>
    <row r="1" spans="8:8" ht="15.75">
      <c r="A1" s="1" t="s">
        <v>0</v>
      </c>
      <c r="B1" s="2"/>
      <c r="C1" s="2"/>
      <c r="D1" s="2"/>
      <c r="E1" s="2"/>
      <c r="F1" s="3"/>
      <c r="I1" s="4" t="s">
        <v>1</v>
      </c>
      <c r="J1" s="5"/>
      <c r="K1" s="5"/>
      <c r="L1" s="5"/>
      <c r="M1" s="5"/>
      <c r="N1" s="6"/>
    </row>
    <row r="2" spans="8:8" ht="15.75">
      <c r="A2" s="7"/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I2" s="10"/>
      <c r="J2" s="8" t="s">
        <v>2</v>
      </c>
      <c r="K2" s="8" t="s">
        <v>3</v>
      </c>
      <c r="L2" s="8" t="s">
        <v>4</v>
      </c>
      <c r="M2" s="11" t="s">
        <v>5</v>
      </c>
      <c r="N2" s="12" t="s">
        <v>6</v>
      </c>
    </row>
    <row r="3" spans="8:8">
      <c r="A3" s="13" t="s">
        <v>7</v>
      </c>
      <c r="B3" s="14">
        <v>4425.558184489796</v>
      </c>
      <c r="C3" s="14">
        <v>7096.508900226757</v>
      </c>
      <c r="D3" s="14">
        <v>6042.332931619161</v>
      </c>
      <c r="E3" s="15">
        <f>D3/C3*100-100</f>
        <v>-14.854853047164</v>
      </c>
      <c r="F3" s="16">
        <f>D3/B3*100-100</f>
        <v>36.53267406574099</v>
      </c>
      <c r="I3" s="13" t="s">
        <v>7</v>
      </c>
      <c r="J3" s="14">
        <v>9256.416439909297</v>
      </c>
      <c r="K3" s="14">
        <v>15593.28214940983</v>
      </c>
      <c r="L3" s="14">
        <v>13611.682851363203</v>
      </c>
      <c r="M3" s="15">
        <f>L3/K3*100-100</f>
        <v>-12.708032081120393</v>
      </c>
      <c r="N3" s="16">
        <f>L3/J3*100-100</f>
        <v>47.051323152186995</v>
      </c>
      <c r="O3" s="17"/>
      <c r="P3" s="17"/>
      <c r="Q3" s="17"/>
    </row>
    <row r="4" spans="8:8">
      <c r="A4" s="18" t="s">
        <v>8</v>
      </c>
      <c r="B4" s="19">
        <v>4387.35872</v>
      </c>
      <c r="C4" s="19">
        <v>6710.0</v>
      </c>
      <c r="D4" s="19">
        <v>5617.7</v>
      </c>
      <c r="E4" s="20">
        <f>D4/C4*100-100</f>
        <v>-16.278688524590194</v>
      </c>
      <c r="F4" s="21">
        <f>D4/B4*100-100</f>
        <v>28.042869492102994</v>
      </c>
      <c r="I4" s="22" t="s">
        <v>8</v>
      </c>
      <c r="J4" s="19">
        <v>9080.0</v>
      </c>
      <c r="K4" s="19">
        <v>16690.0</v>
      </c>
      <c r="L4" s="19">
        <v>13580.0</v>
      </c>
      <c r="M4" s="20">
        <f>L4/K4*100-100</f>
        <v>-18.633912522468506</v>
      </c>
      <c r="N4" s="21">
        <f>L4/J4*100-100</f>
        <v>49.55947136563901</v>
      </c>
      <c r="O4" s="23"/>
      <c r="P4" s="23"/>
      <c r="Q4" s="23"/>
    </row>
    <row r="5" spans="8:8">
      <c r="A5" s="18" t="s">
        <v>9</v>
      </c>
      <c r="B5" s="19">
        <v>4579.87</v>
      </c>
      <c r="C5" s="19">
        <v>7336.14285714286</v>
      </c>
      <c r="D5" s="19">
        <v>6491.0</v>
      </c>
      <c r="E5" s="20">
        <f t="shared" si="0" ref="E5:E46">D5/C5*100-100</f>
        <v>-11.5202617179133</v>
      </c>
      <c r="F5" s="21">
        <f t="shared" si="1" ref="F5:F46">D5/B5*100-100</f>
        <v>41.728913702791004</v>
      </c>
      <c r="I5" s="18" t="s">
        <v>9</v>
      </c>
      <c r="J5" s="19">
        <v>9022.22222222222</v>
      </c>
      <c r="K5" s="19">
        <v>16390.0</v>
      </c>
      <c r="L5" s="19">
        <v>13847.5</v>
      </c>
      <c r="M5" s="20">
        <f t="shared" si="2" ref="M5:M46">L5/K5*100-100</f>
        <v>-15.512507626601604</v>
      </c>
      <c r="N5" s="21">
        <f t="shared" si="3" ref="N5:N46">L5/J5*100-100</f>
        <v>53.482142857143</v>
      </c>
      <c r="O5" s="23"/>
      <c r="P5" s="23"/>
      <c r="Q5" s="23"/>
    </row>
    <row r="6" spans="8:8">
      <c r="A6" s="18" t="s">
        <v>10</v>
      </c>
      <c r="B6" s="19">
        <v>4621.42857142857</v>
      </c>
      <c r="C6" s="19">
        <v>7238.18333333333</v>
      </c>
      <c r="D6" s="19">
        <v>5560.62841796875</v>
      </c>
      <c r="E6" s="20">
        <f t="shared" si="0"/>
        <v>-23.176463459264596</v>
      </c>
      <c r="F6" s="21">
        <f t="shared" si="1"/>
        <v>20.322716926680997</v>
      </c>
      <c r="I6" s="18" t="s">
        <v>10</v>
      </c>
      <c r="J6" s="19">
        <v>8840.0</v>
      </c>
      <c r="K6" s="19">
        <v>14455.3812144886</v>
      </c>
      <c r="L6" s="19">
        <v>13622.377371651786</v>
      </c>
      <c r="M6" s="20">
        <f t="shared" si="2"/>
        <v>-5.7625864754219975</v>
      </c>
      <c r="N6" s="21">
        <f t="shared" si="3"/>
        <v>54.099291534521996</v>
      </c>
      <c r="O6" s="23"/>
      <c r="P6" s="23"/>
      <c r="Q6" s="23"/>
    </row>
    <row r="7" spans="8:8">
      <c r="A7" s="18" t="s">
        <v>11</v>
      </c>
      <c r="B7" s="19">
        <v>4780.0</v>
      </c>
      <c r="C7" s="19">
        <v>7562.3125</v>
      </c>
      <c r="D7" s="19">
        <v>5936.2919921875</v>
      </c>
      <c r="E7" s="20">
        <f t="shared" si="0"/>
        <v>-21.501630722249303</v>
      </c>
      <c r="F7" s="21">
        <f t="shared" si="1"/>
        <v>24.190209041580005</v>
      </c>
      <c r="I7" s="18" t="s">
        <v>11</v>
      </c>
      <c r="J7" s="19">
        <v>9585.71428571429</v>
      </c>
      <c r="K7" s="19">
        <v>16318.6354980469</v>
      </c>
      <c r="L7" s="19">
        <v>13314.465087890625</v>
      </c>
      <c r="M7" s="20">
        <f t="shared" si="2"/>
        <v>-18.409446123824694</v>
      </c>
      <c r="N7" s="21">
        <f t="shared" si="3"/>
        <v>38.899039665028994</v>
      </c>
      <c r="O7" s="23"/>
      <c r="P7" s="23"/>
      <c r="Q7" s="23"/>
    </row>
    <row r="8" spans="8:8">
      <c r="A8" s="18" t="s">
        <v>12</v>
      </c>
      <c r="B8" s="19">
        <v>3366.66666666667</v>
      </c>
      <c r="C8" s="19">
        <v>6412.65625</v>
      </c>
      <c r="D8" s="19">
        <v>6277.978515625</v>
      </c>
      <c r="E8" s="20">
        <f t="shared" si="0"/>
        <v>-2.1001863989668976</v>
      </c>
      <c r="F8" s="21">
        <f t="shared" si="1"/>
        <v>86.474609375</v>
      </c>
      <c r="I8" s="18" t="s">
        <v>12</v>
      </c>
      <c r="J8" s="19">
        <v>9588.09523809524</v>
      </c>
      <c r="K8" s="19">
        <v>14553.125</v>
      </c>
      <c r="L8" s="19">
        <v>13413.8125</v>
      </c>
      <c r="M8" s="20">
        <f t="shared" si="2"/>
        <v>-7.828645050461702</v>
      </c>
      <c r="N8" s="21">
        <f t="shared" si="3"/>
        <v>39.900701514774994</v>
      </c>
      <c r="O8" s="23"/>
      <c r="P8" s="23"/>
      <c r="Q8" s="23"/>
    </row>
    <row r="9" spans="8:8">
      <c r="A9" s="18" t="s">
        <v>13</v>
      </c>
      <c r="B9" s="19">
        <v>4633.33333333333</v>
      </c>
      <c r="C9" s="19">
        <v>7219.44444444444</v>
      </c>
      <c r="D9" s="19">
        <v>6165.3125</v>
      </c>
      <c r="E9" s="20">
        <f t="shared" si="0"/>
        <v>-14.601288957291203</v>
      </c>
      <c r="F9" s="21">
        <f t="shared" si="1"/>
        <v>33.06429856115099</v>
      </c>
      <c r="I9" s="18" t="s">
        <v>13</v>
      </c>
      <c r="J9" s="19">
        <v>9553.33333333333</v>
      </c>
      <c r="K9" s="19">
        <v>15995.8333333333</v>
      </c>
      <c r="L9" s="19">
        <v>13828.625</v>
      </c>
      <c r="M9" s="20">
        <f t="shared" si="2"/>
        <v>-13.548580359468403</v>
      </c>
      <c r="N9" s="21">
        <f t="shared" si="3"/>
        <v>44.75183182135399</v>
      </c>
      <c r="O9" s="23"/>
      <c r="P9" s="23"/>
      <c r="Q9" s="23"/>
    </row>
    <row r="10" spans="8:8">
      <c r="A10" s="18" t="s">
        <v>14</v>
      </c>
      <c r="B10" s="19">
        <v>4610.25</v>
      </c>
      <c r="C10" s="19">
        <v>7196.82291666667</v>
      </c>
      <c r="D10" s="19">
        <v>6247.419095552885</v>
      </c>
      <c r="E10" s="20">
        <f t="shared" si="0"/>
        <v>-13.191985298333805</v>
      </c>
      <c r="F10" s="21">
        <f t="shared" si="1"/>
        <v>35.511503618088</v>
      </c>
      <c r="I10" s="18" t="s">
        <v>14</v>
      </c>
      <c r="J10" s="19">
        <v>9125.55</v>
      </c>
      <c r="K10" s="19">
        <v>14750.0</v>
      </c>
      <c r="L10" s="19">
        <v>13675.0</v>
      </c>
      <c r="M10" s="20">
        <f t="shared" si="2"/>
        <v>-7.288135593220304</v>
      </c>
      <c r="N10" s="21">
        <f t="shared" si="3"/>
        <v>49.85398140386101</v>
      </c>
      <c r="O10" s="23"/>
      <c r="P10" s="23"/>
      <c r="Q10" s="23"/>
    </row>
    <row r="11" spans="8:8">
      <c r="A11" s="13" t="s">
        <v>15</v>
      </c>
      <c r="B11" s="14">
        <v>4087.8351190476665</v>
      </c>
      <c r="C11" s="14">
        <v>6807.388888888895</v>
      </c>
      <c r="D11" s="14">
        <v>6446.534812973485</v>
      </c>
      <c r="E11" s="15">
        <f t="shared" si="0"/>
        <v>-5.300917602994602</v>
      </c>
      <c r="F11" s="16">
        <f t="shared" si="1"/>
        <v>57.700460640774</v>
      </c>
      <c r="I11" s="13" t="s">
        <v>15</v>
      </c>
      <c r="J11" s="14">
        <v>8604.646690476184</v>
      </c>
      <c r="K11" s="14">
        <v>15104.258355034717</v>
      </c>
      <c r="L11" s="14">
        <v>15075.160200169477</v>
      </c>
      <c r="M11" s="15">
        <f t="shared" si="2"/>
        <v>-0.19264868344589559</v>
      </c>
      <c r="N11" s="16">
        <f t="shared" si="3"/>
        <v>75.197898791766</v>
      </c>
      <c r="O11" s="17"/>
      <c r="P11" s="17"/>
      <c r="Q11" s="17"/>
    </row>
    <row r="12" spans="8:8">
      <c r="A12" s="18" t="s">
        <v>16</v>
      </c>
      <c r="B12" s="19">
        <v>4534.375</v>
      </c>
      <c r="C12" s="19">
        <v>6470.0</v>
      </c>
      <c r="D12" s="19">
        <v>5870.0</v>
      </c>
      <c r="E12" s="20">
        <f t="shared" si="0"/>
        <v>-9.273570324575005</v>
      </c>
      <c r="F12" s="21">
        <f t="shared" si="1"/>
        <v>29.455547898000987</v>
      </c>
      <c r="I12" s="18" t="s">
        <v>16</v>
      </c>
      <c r="J12" s="19">
        <v>7586.875</v>
      </c>
      <c r="K12" s="19">
        <v>16488.75</v>
      </c>
      <c r="L12" s="19">
        <v>13632.5625</v>
      </c>
      <c r="M12" s="20">
        <f t="shared" si="2"/>
        <v>-17.322037753013404</v>
      </c>
      <c r="N12" s="21">
        <f t="shared" si="3"/>
        <v>79.686135596013</v>
      </c>
      <c r="O12" s="23"/>
      <c r="P12" s="23"/>
      <c r="Q12" s="23"/>
    </row>
    <row r="13" spans="8:8">
      <c r="A13" s="18" t="s">
        <v>17</v>
      </c>
      <c r="B13" s="19">
        <v>4228.29</v>
      </c>
      <c r="C13" s="19">
        <v>7000.0</v>
      </c>
      <c r="D13" s="19">
        <v>6395.0</v>
      </c>
      <c r="E13" s="20">
        <f t="shared" si="0"/>
        <v>-8.642857142857096</v>
      </c>
      <c r="F13" s="21">
        <f t="shared" si="1"/>
        <v>51.24317395448301</v>
      </c>
      <c r="I13" s="18" t="s">
        <v>17</v>
      </c>
      <c r="J13" s="19">
        <v>9562.879047619</v>
      </c>
      <c r="K13" s="19">
        <v>13450.0</v>
      </c>
      <c r="L13" s="19">
        <v>14375.0</v>
      </c>
      <c r="M13" s="20">
        <f t="shared" si="2"/>
        <v>6.877323420074006</v>
      </c>
      <c r="N13" s="21">
        <f t="shared" si="3"/>
        <v>50.320838822898</v>
      </c>
      <c r="O13" s="23"/>
      <c r="P13" s="23"/>
      <c r="Q13" s="23"/>
    </row>
    <row r="14" spans="8:8">
      <c r="A14" s="18" t="s">
        <v>18</v>
      </c>
      <c r="B14" s="19">
        <v>3785.285714286</v>
      </c>
      <c r="C14" s="19">
        <v>7186.66666666667</v>
      </c>
      <c r="D14" s="19">
        <v>7088.58671875</v>
      </c>
      <c r="E14" s="20">
        <f t="shared" si="0"/>
        <v>-1.3647488114563942</v>
      </c>
      <c r="F14" s="21">
        <f t="shared" si="1"/>
        <v>87.266886935299</v>
      </c>
      <c r="I14" s="18" t="s">
        <v>18</v>
      </c>
      <c r="J14" s="19">
        <v>8020.0</v>
      </c>
      <c r="K14" s="19">
        <v>15305.0</v>
      </c>
      <c r="L14" s="19">
        <v>15122.857142857143</v>
      </c>
      <c r="M14" s="20">
        <f t="shared" si="2"/>
        <v>-1.1900872730666947</v>
      </c>
      <c r="N14" s="21">
        <f t="shared" si="3"/>
        <v>88.56430352689699</v>
      </c>
      <c r="O14" s="23"/>
      <c r="P14" s="23"/>
      <c r="Q14" s="23"/>
    </row>
    <row r="15" spans="8:8">
      <c r="A15" s="18" t="s">
        <v>19</v>
      </c>
      <c r="B15" s="19">
        <v>3655.45</v>
      </c>
      <c r="C15" s="19">
        <v>6825.0</v>
      </c>
      <c r="D15" s="19">
        <v>6293.590909090909</v>
      </c>
      <c r="E15" s="20">
        <f t="shared" si="0"/>
        <v>-7.786213786213807</v>
      </c>
      <c r="F15" s="21">
        <f t="shared" si="1"/>
        <v>72.170072332843</v>
      </c>
      <c r="I15" s="18" t="s">
        <v>19</v>
      </c>
      <c r="J15" s="19">
        <v>8170.60642857143</v>
      </c>
      <c r="K15" s="19">
        <v>16473.3333333333</v>
      </c>
      <c r="L15" s="19">
        <v>15872.222222222223</v>
      </c>
      <c r="M15" s="20">
        <f t="shared" si="2"/>
        <v>-3.648995008768196</v>
      </c>
      <c r="N15" s="21">
        <f t="shared" si="3"/>
        <v>94.260026608543</v>
      </c>
      <c r="O15" s="23"/>
      <c r="P15" s="23"/>
      <c r="Q15" s="23"/>
    </row>
    <row r="16" spans="8:8">
      <c r="A16" s="18" t="s">
        <v>20</v>
      </c>
      <c r="B16" s="19">
        <v>4198.25</v>
      </c>
      <c r="C16" s="19">
        <v>7300.1666666667</v>
      </c>
      <c r="D16" s="19">
        <v>6096.53125</v>
      </c>
      <c r="E16" s="20">
        <f t="shared" si="0"/>
        <v>-16.487779959362</v>
      </c>
      <c r="F16" s="21">
        <f t="shared" si="1"/>
        <v>45.21601262430801</v>
      </c>
      <c r="I16" s="18" t="s">
        <v>20</v>
      </c>
      <c r="J16" s="19">
        <v>8921.66666666667</v>
      </c>
      <c r="K16" s="19">
        <v>13950.0</v>
      </c>
      <c r="L16" s="19">
        <v>15625.0</v>
      </c>
      <c r="M16" s="20">
        <f t="shared" si="2"/>
        <v>12.007168458780995</v>
      </c>
      <c r="N16" s="21">
        <f t="shared" si="3"/>
        <v>75.135438072109</v>
      </c>
      <c r="O16" s="23"/>
      <c r="P16" s="23"/>
      <c r="Q16" s="23"/>
    </row>
    <row r="17" spans="8:8">
      <c r="A17" s="18" t="s">
        <v>21</v>
      </c>
      <c r="B17" s="19">
        <v>4125.36</v>
      </c>
      <c r="C17" s="19">
        <v>6062.5</v>
      </c>
      <c r="D17" s="19">
        <v>6935.5</v>
      </c>
      <c r="E17" s="20">
        <f t="shared" si="0"/>
        <v>14.400000000000006</v>
      </c>
      <c r="F17" s="21">
        <f t="shared" si="1"/>
        <v>68.11866115926901</v>
      </c>
      <c r="I17" s="18" t="s">
        <v>21</v>
      </c>
      <c r="J17" s="19">
        <v>9365.853</v>
      </c>
      <c r="K17" s="19">
        <v>14958.466796875</v>
      </c>
      <c r="L17" s="19">
        <v>15823.3193359375</v>
      </c>
      <c r="M17" s="20">
        <f t="shared" si="2"/>
        <v>5.781692407427997</v>
      </c>
      <c r="N17" s="21">
        <f t="shared" si="3"/>
        <v>68.946911038829</v>
      </c>
      <c r="O17" s="23"/>
      <c r="P17" s="23"/>
      <c r="Q17" s="23"/>
    </row>
    <row r="18" spans="8:8">
      <c r="A18" s="13" t="s">
        <v>22</v>
      </c>
      <c r="B18" s="14">
        <v>4265.965411255413</v>
      </c>
      <c r="C18" s="14">
        <v>6660.204365079365</v>
      </c>
      <c r="D18" s="14">
        <v>6014.543083900227</v>
      </c>
      <c r="E18" s="15">
        <f t="shared" si="0"/>
        <v>-9.694316357084404</v>
      </c>
      <c r="F18" s="16">
        <f t="shared" si="1"/>
        <v>40.98902602518399</v>
      </c>
      <c r="I18" s="13" t="s">
        <v>22</v>
      </c>
      <c r="J18" s="14">
        <v>9001.83739692847</v>
      </c>
      <c r="K18" s="14">
        <v>15819.440051020409</v>
      </c>
      <c r="L18" s="14">
        <v>14454.859307359307</v>
      </c>
      <c r="M18" s="15">
        <f t="shared" si="2"/>
        <v>-8.625973733963406</v>
      </c>
      <c r="N18" s="16">
        <f t="shared" si="3"/>
        <v>60.576765275626</v>
      </c>
      <c r="O18" s="17"/>
      <c r="P18" s="17"/>
      <c r="Q18" s="17"/>
    </row>
    <row r="19" spans="8:8">
      <c r="A19" s="18" t="s">
        <v>23</v>
      </c>
      <c r="B19" s="19">
        <v>4142.85714285714</v>
      </c>
      <c r="C19" s="19">
        <v>6144.444444444444</v>
      </c>
      <c r="D19" s="19">
        <v>6243.75</v>
      </c>
      <c r="E19" s="20">
        <f t="shared" si="0"/>
        <v>1.6161844484630024</v>
      </c>
      <c r="F19" s="21">
        <f t="shared" si="1"/>
        <v>50.711206896552</v>
      </c>
      <c r="I19" s="18" t="s">
        <v>23</v>
      </c>
      <c r="J19" s="19">
        <v>9318.8125</v>
      </c>
      <c r="K19" s="19">
        <v>15950.0</v>
      </c>
      <c r="L19" s="19">
        <v>15400.0</v>
      </c>
      <c r="M19" s="20">
        <f t="shared" si="2"/>
        <v>-3.4482758620689964</v>
      </c>
      <c r="N19" s="21">
        <f t="shared" si="3"/>
        <v>65.25710759820501</v>
      </c>
      <c r="O19" s="23"/>
      <c r="P19" s="23"/>
      <c r="Q19" s="23"/>
    </row>
    <row r="20" spans="8:8">
      <c r="A20" s="18" t="s">
        <v>24</v>
      </c>
      <c r="B20" s="19">
        <v>4579.16666666667</v>
      </c>
      <c r="C20" s="19">
        <v>6800.875</v>
      </c>
      <c r="D20" s="19">
        <v>5602.0</v>
      </c>
      <c r="E20" s="20">
        <f t="shared" si="0"/>
        <v>-17.6282463653574</v>
      </c>
      <c r="F20" s="21">
        <f t="shared" si="1"/>
        <v>22.336669699726997</v>
      </c>
      <c r="I20" s="18" t="s">
        <v>24</v>
      </c>
      <c r="J20" s="19">
        <v>9326.66666666667</v>
      </c>
      <c r="K20" s="19">
        <v>16754.6875</v>
      </c>
      <c r="L20" s="19">
        <v>14311.111111111111</v>
      </c>
      <c r="M20" s="20">
        <f t="shared" si="2"/>
        <v>-14.5844342897406</v>
      </c>
      <c r="N20" s="21">
        <f t="shared" si="3"/>
        <v>53.442935430069014</v>
      </c>
      <c r="O20" s="23"/>
      <c r="P20" s="23"/>
      <c r="Q20" s="23"/>
    </row>
    <row r="21" spans="8:8">
      <c r="A21" s="18" t="s">
        <v>25</v>
      </c>
      <c r="B21" s="19">
        <v>4432.14285714286</v>
      </c>
      <c r="C21" s="19">
        <v>6900.0</v>
      </c>
      <c r="D21" s="19">
        <v>5787.5</v>
      </c>
      <c r="E21" s="20">
        <f t="shared" si="0"/>
        <v>-16.123188405797094</v>
      </c>
      <c r="F21" s="21">
        <f t="shared" si="1"/>
        <v>30.580177276390003</v>
      </c>
      <c r="I21" s="18" t="s">
        <v>25</v>
      </c>
      <c r="J21" s="19">
        <v>8833.33333333333</v>
      </c>
      <c r="K21" s="19">
        <v>15856.25</v>
      </c>
      <c r="L21" s="19">
        <v>14418.181818181818</v>
      </c>
      <c r="M21" s="20">
        <f>L21/K21*100-100</f>
        <v>-9.069409108825695</v>
      </c>
      <c r="N21" s="21">
        <f t="shared" si="3"/>
        <v>63.22469982847301</v>
      </c>
      <c r="O21" s="23"/>
      <c r="P21" s="23"/>
      <c r="Q21" s="23"/>
    </row>
    <row r="22" spans="8:8">
      <c r="A22" s="18" t="s">
        <v>26</v>
      </c>
      <c r="B22" s="19">
        <v>4195.45454545455</v>
      </c>
      <c r="C22" s="19">
        <v>6375.0</v>
      </c>
      <c r="D22" s="19">
        <v>6194.444444444444</v>
      </c>
      <c r="E22" s="20">
        <f t="shared" si="0"/>
        <v>-2.8322440087145964</v>
      </c>
      <c r="F22" s="21">
        <f t="shared" si="1"/>
        <v>47.64656313952099</v>
      </c>
      <c r="I22" s="18" t="s">
        <v>26</v>
      </c>
      <c r="J22" s="19">
        <v>9346.47857142857</v>
      </c>
      <c r="K22" s="19">
        <v>15325.0</v>
      </c>
      <c r="L22" s="19">
        <v>14505.555555555555</v>
      </c>
      <c r="M22" s="20">
        <f t="shared" si="2"/>
        <v>-5.347108936015999</v>
      </c>
      <c r="N22" s="21">
        <f t="shared" si="3"/>
        <v>55.198082836222994</v>
      </c>
      <c r="O22" s="23"/>
      <c r="P22" s="23"/>
      <c r="Q22" s="23"/>
    </row>
    <row r="23" spans="8:8">
      <c r="A23" s="18" t="s">
        <v>27</v>
      </c>
      <c r="B23" s="19">
        <v>3630.0</v>
      </c>
      <c r="C23" s="19">
        <v>6511.11111111111</v>
      </c>
      <c r="D23" s="19">
        <v>6092.857142857143</v>
      </c>
      <c r="E23" s="20">
        <f t="shared" si="0"/>
        <v>-6.423695758166701</v>
      </c>
      <c r="F23" s="21">
        <f t="shared" si="1"/>
        <v>67.84730421094099</v>
      </c>
      <c r="I23" s="18" t="s">
        <v>27</v>
      </c>
      <c r="J23" s="19">
        <v>8982.22222222222</v>
      </c>
      <c r="K23" s="19">
        <v>14677.142857142857</v>
      </c>
      <c r="L23" s="19">
        <v>14111.6666666667</v>
      </c>
      <c r="M23" s="20">
        <f t="shared" si="2"/>
        <v>-3.8527675037309024</v>
      </c>
      <c r="N23" s="21">
        <f t="shared" si="3"/>
        <v>57.106630381</v>
      </c>
      <c r="O23" s="23"/>
      <c r="P23" s="23"/>
      <c r="Q23" s="23"/>
    </row>
    <row r="24" spans="8:8">
      <c r="A24" s="18" t="s">
        <v>28</v>
      </c>
      <c r="B24" s="19">
        <v>4186.66666666667</v>
      </c>
      <c r="C24" s="19">
        <v>7000.0</v>
      </c>
      <c r="D24" s="19">
        <v>6750.0</v>
      </c>
      <c r="E24" s="20">
        <f t="shared" si="0"/>
        <v>-3.571428571428598</v>
      </c>
      <c r="F24" s="21">
        <f t="shared" si="1"/>
        <v>61.226114649680994</v>
      </c>
      <c r="I24" s="18" t="s">
        <v>28</v>
      </c>
      <c r="J24" s="19">
        <v>9266.18181818182</v>
      </c>
      <c r="K24" s="19">
        <v>15650.0</v>
      </c>
      <c r="L24" s="19">
        <v>14375.0</v>
      </c>
      <c r="M24" s="20">
        <f t="shared" si="2"/>
        <v>-8.14696485623</v>
      </c>
      <c r="N24" s="21">
        <f t="shared" si="3"/>
        <v>55.13401616827599</v>
      </c>
      <c r="O24" s="23"/>
      <c r="P24" s="23"/>
      <c r="Q24" s="23"/>
    </row>
    <row r="25" spans="8:8">
      <c r="A25" s="18" t="s">
        <v>29</v>
      </c>
      <c r="B25" s="19">
        <v>4695.47</v>
      </c>
      <c r="C25" s="19">
        <v>6890.0</v>
      </c>
      <c r="D25" s="19">
        <v>5431.25</v>
      </c>
      <c r="E25" s="20">
        <f t="shared" si="0"/>
        <v>-21.171988388969496</v>
      </c>
      <c r="F25" s="21">
        <f t="shared" si="1"/>
        <v>15.669996826729005</v>
      </c>
      <c r="I25" s="18" t="s">
        <v>29</v>
      </c>
      <c r="J25" s="19">
        <v>7939.16666666667</v>
      </c>
      <c r="K25" s="19">
        <v>16523.0</v>
      </c>
      <c r="L25" s="19">
        <v>14062.5</v>
      </c>
      <c r="M25" s="20">
        <f t="shared" si="2"/>
        <v>-14.891363553833997</v>
      </c>
      <c r="N25" s="21">
        <f t="shared" si="3"/>
        <v>77.12816206570801</v>
      </c>
      <c r="O25" s="23"/>
      <c r="P25" s="23"/>
      <c r="Q25" s="23"/>
    </row>
    <row r="26" spans="8:8">
      <c r="A26" s="13" t="s">
        <v>30</v>
      </c>
      <c r="B26" s="14">
        <v>3847.920137254902</v>
      </c>
      <c r="C26" s="14">
        <v>6961.906764069265</v>
      </c>
      <c r="D26" s="14">
        <v>5773.817274193331</v>
      </c>
      <c r="E26" s="15">
        <f t="shared" si="0"/>
        <v>-17.065576000065406</v>
      </c>
      <c r="F26" s="16">
        <f t="shared" si="1"/>
        <v>50.05034065785901</v>
      </c>
      <c r="I26" s="13" t="s">
        <v>30</v>
      </c>
      <c r="J26" s="14">
        <v>9271.487589523811</v>
      </c>
      <c r="K26" s="14">
        <v>15925.958268398259</v>
      </c>
      <c r="L26" s="14">
        <v>13838.002220626531</v>
      </c>
      <c r="M26" s="15">
        <f t="shared" si="2"/>
        <v>-13.1103950706366</v>
      </c>
      <c r="N26" s="16">
        <f t="shared" si="3"/>
        <v>49.253311154323995</v>
      </c>
      <c r="O26" s="17"/>
      <c r="P26" s="17"/>
      <c r="Q26" s="17"/>
    </row>
    <row r="27" spans="8:8">
      <c r="A27" s="18" t="s">
        <v>31</v>
      </c>
      <c r="B27" s="19">
        <v>3858.82352941176</v>
      </c>
      <c r="C27" s="19">
        <v>7304.16666666667</v>
      </c>
      <c r="D27" s="19">
        <v>5824.557692307692</v>
      </c>
      <c r="E27" s="20">
        <f t="shared" si="0"/>
        <v>-20.257053841765796</v>
      </c>
      <c r="F27" s="21">
        <f t="shared" si="1"/>
        <v>50.94128166041301</v>
      </c>
      <c r="I27" s="18" t="s">
        <v>31</v>
      </c>
      <c r="J27" s="19">
        <v>9036.66666666667</v>
      </c>
      <c r="K27" s="19">
        <v>16708.3333333333</v>
      </c>
      <c r="L27" s="19">
        <v>13981.25</v>
      </c>
      <c r="M27" s="20">
        <f>L27/K27*100-100</f>
        <v>-16.321695760598303</v>
      </c>
      <c r="N27" s="21">
        <f t="shared" si="3"/>
        <v>54.71689413500499</v>
      </c>
      <c r="O27" s="23"/>
      <c r="P27" s="23"/>
      <c r="Q27" s="23"/>
    </row>
    <row r="28" spans="8:8">
      <c r="A28" s="18" t="s">
        <v>32</v>
      </c>
      <c r="B28" s="19">
        <v>3586.66666666667</v>
      </c>
      <c r="C28" s="19">
        <v>6338.75</v>
      </c>
      <c r="D28" s="19">
        <v>5857.083333333333</v>
      </c>
      <c r="E28" s="20">
        <f t="shared" si="0"/>
        <v>-7.598764214816299</v>
      </c>
      <c r="F28" s="21">
        <f t="shared" si="1"/>
        <v>63.30157992565</v>
      </c>
      <c r="I28" s="18" t="s">
        <v>32</v>
      </c>
      <c r="J28" s="19">
        <v>9856.78571428571</v>
      </c>
      <c r="K28" s="19">
        <v>16334.5833333333</v>
      </c>
      <c r="L28" s="19">
        <v>14011.361588541668</v>
      </c>
      <c r="M28" s="20">
        <f t="shared" si="2"/>
        <v>-14.222718127438995</v>
      </c>
      <c r="N28" s="21">
        <f t="shared" si="3"/>
        <v>42.149398340218</v>
      </c>
      <c r="O28" s="23"/>
      <c r="P28" s="23"/>
      <c r="Q28" s="23"/>
    </row>
    <row r="29" spans="8:8">
      <c r="A29" s="18" t="s">
        <v>33</v>
      </c>
      <c r="B29" s="19">
        <v>4050.385</v>
      </c>
      <c r="C29" s="19">
        <v>7590.78571428571</v>
      </c>
      <c r="D29" s="19">
        <v>5814.017857142857</v>
      </c>
      <c r="E29" s="20">
        <f t="shared" si="0"/>
        <v>-23.406903106209498</v>
      </c>
      <c r="F29" s="21">
        <f t="shared" si="1"/>
        <v>43.54235108867101</v>
      </c>
      <c r="I29" s="18" t="s">
        <v>33</v>
      </c>
      <c r="J29" s="19">
        <v>9198.75</v>
      </c>
      <c r="K29" s="19">
        <v>14543.3928571429</v>
      </c>
      <c r="L29" s="19">
        <v>14177.91796875</v>
      </c>
      <c r="M29" s="20">
        <f t="shared" si="2"/>
        <v>-2.5129960524541985</v>
      </c>
      <c r="N29" s="21">
        <f t="shared" si="3"/>
        <v>54.128745413779</v>
      </c>
      <c r="O29" s="23"/>
      <c r="P29" s="23"/>
      <c r="Q29" s="23"/>
    </row>
    <row r="30" spans="8:8">
      <c r="A30" s="18" t="s">
        <v>34</v>
      </c>
      <c r="B30" s="19">
        <v>3846.66666666667</v>
      </c>
      <c r="C30" s="19">
        <v>6825.22727272727</v>
      </c>
      <c r="D30" s="19">
        <v>5729.133370535715</v>
      </c>
      <c r="E30" s="20">
        <f t="shared" si="0"/>
        <v>-16.0594491347036</v>
      </c>
      <c r="F30" s="21">
        <f t="shared" si="1"/>
        <v>48.93760928602401</v>
      </c>
      <c r="I30" s="18" t="s">
        <v>34</v>
      </c>
      <c r="J30" s="19">
        <v>9198.5689</v>
      </c>
      <c r="K30" s="19">
        <v>15824.4318181818</v>
      </c>
      <c r="L30" s="19">
        <v>13411.393310546875</v>
      </c>
      <c r="M30" s="20">
        <f t="shared" si="2"/>
        <v>-15.248816105121804</v>
      </c>
      <c r="N30" s="21">
        <f t="shared" si="3"/>
        <v>45.79869386581299</v>
      </c>
      <c r="O30" s="23"/>
      <c r="P30" s="23"/>
      <c r="Q30" s="23"/>
    </row>
    <row r="31" spans="8:8">
      <c r="A31" s="18" t="s">
        <v>35</v>
      </c>
      <c r="B31" s="19">
        <v>3897.05882352941</v>
      </c>
      <c r="C31" s="19">
        <v>6750.60416666667</v>
      </c>
      <c r="D31" s="19">
        <v>5644.294117647059</v>
      </c>
      <c r="E31" s="20">
        <f t="shared" si="0"/>
        <v>-16.388311648939194</v>
      </c>
      <c r="F31" s="21">
        <f t="shared" si="1"/>
        <v>44.834716981132004</v>
      </c>
      <c r="I31" s="18" t="s">
        <v>35</v>
      </c>
      <c r="J31" s="19">
        <v>9066.66666666667</v>
      </c>
      <c r="K31" s="19">
        <v>16219.05</v>
      </c>
      <c r="L31" s="19">
        <v>13608.088235294117</v>
      </c>
      <c r="M31" s="20">
        <f t="shared" si="2"/>
        <v>-16.098117736278496</v>
      </c>
      <c r="N31" s="21">
        <f t="shared" si="3"/>
        <v>50.089208477509004</v>
      </c>
      <c r="O31" s="23"/>
      <c r="P31" s="23"/>
      <c r="Q31" s="23"/>
    </row>
    <row r="32" spans="8:8">
      <c r="A32" s="13" t="s">
        <v>36</v>
      </c>
      <c r="B32" s="14">
        <v>3970.2730928330934</v>
      </c>
      <c r="C32" s="14">
        <v>7057.0370370370365</v>
      </c>
      <c r="D32" s="14">
        <v>5654.041005291006</v>
      </c>
      <c r="E32" s="15">
        <f t="shared" si="0"/>
        <v>-19.880808679092496</v>
      </c>
      <c r="F32" s="16">
        <f t="shared" si="1"/>
        <v>42.409372682634</v>
      </c>
      <c r="I32" s="13" t="s">
        <v>36</v>
      </c>
      <c r="J32" s="14">
        <v>9532.488963643242</v>
      </c>
      <c r="K32" s="14">
        <v>16272.944444444433</v>
      </c>
      <c r="L32" s="14">
        <v>14294.618055555557</v>
      </c>
      <c r="M32" s="15">
        <f t="shared" si="2"/>
        <v>-12.157150758074806</v>
      </c>
      <c r="N32" s="16">
        <f t="shared" si="3"/>
        <v>49.95682775060101</v>
      </c>
      <c r="O32" s="17"/>
      <c r="P32" s="17"/>
      <c r="Q32" s="17"/>
    </row>
    <row r="33" spans="8:8">
      <c r="A33" s="18" t="s">
        <v>37</v>
      </c>
      <c r="B33" s="19">
        <v>4095.45454545455</v>
      </c>
      <c r="C33" s="19">
        <v>6597.22222222222</v>
      </c>
      <c r="D33" s="19">
        <v>5950.0</v>
      </c>
      <c r="E33" s="20">
        <f t="shared" si="0"/>
        <v>-9.810526315789403</v>
      </c>
      <c r="F33" s="21">
        <f t="shared" si="1"/>
        <v>45.283018867924</v>
      </c>
      <c r="I33" s="18" t="s">
        <v>37</v>
      </c>
      <c r="J33" s="19">
        <v>8993.88888888889</v>
      </c>
      <c r="K33" s="19">
        <v>16319.3333333333</v>
      </c>
      <c r="L33" s="19">
        <v>14875.0</v>
      </c>
      <c r="M33" s="20">
        <f t="shared" si="2"/>
        <v>-8.850443237060105</v>
      </c>
      <c r="N33" s="21">
        <f t="shared" si="3"/>
        <v>65.39007968373599</v>
      </c>
      <c r="O33" s="23"/>
      <c r="P33" s="23"/>
      <c r="Q33" s="23"/>
    </row>
    <row r="34" spans="8:8">
      <c r="A34" s="18" t="s">
        <v>38</v>
      </c>
      <c r="B34" s="19">
        <v>4627.77777777778</v>
      </c>
      <c r="C34" s="19">
        <v>6525.0</v>
      </c>
      <c r="D34" s="19">
        <v>5572.222222222223</v>
      </c>
      <c r="E34" s="20">
        <f t="shared" si="0"/>
        <v>-14.601958280119206</v>
      </c>
      <c r="F34" s="21">
        <f t="shared" si="1"/>
        <v>20.408163265306</v>
      </c>
      <c r="I34" s="18" t="s">
        <v>38</v>
      </c>
      <c r="J34" s="19">
        <v>9878.4242630386</v>
      </c>
      <c r="K34" s="19">
        <v>16612.5</v>
      </c>
      <c r="L34" s="19">
        <v>14337.5</v>
      </c>
      <c r="M34" s="20">
        <f t="shared" si="2"/>
        <v>-13.694507148231693</v>
      </c>
      <c r="N34" s="21">
        <f t="shared" si="3"/>
        <v>45.13954471104901</v>
      </c>
      <c r="O34" s="23"/>
      <c r="P34" s="23"/>
      <c r="Q34" s="23"/>
    </row>
    <row r="35" spans="8:8">
      <c r="A35" s="18" t="s">
        <v>39</v>
      </c>
      <c r="B35" s="19">
        <v>4392.85714285714</v>
      </c>
      <c r="C35" s="19">
        <v>7420.0</v>
      </c>
      <c r="D35" s="19">
        <v>5707.777777777777</v>
      </c>
      <c r="E35" s="20">
        <f t="shared" si="0"/>
        <v>-23.075771188978706</v>
      </c>
      <c r="F35" s="21">
        <f t="shared" si="1"/>
        <v>29.93315266485999</v>
      </c>
      <c r="I35" s="18" t="s">
        <v>39</v>
      </c>
      <c r="J35" s="19">
        <v>10175.3319727891</v>
      </c>
      <c r="K35" s="19">
        <v>16888.8888888889</v>
      </c>
      <c r="L35" s="19">
        <v>14555.625</v>
      </c>
      <c r="M35" s="20">
        <f t="shared" si="2"/>
        <v>-13.8153782894737</v>
      </c>
      <c r="N35" s="21">
        <f t="shared" si="3"/>
        <v>43.04815841807101</v>
      </c>
      <c r="O35" s="23"/>
      <c r="P35" s="23"/>
      <c r="Q35" s="23"/>
    </row>
    <row r="36" spans="8:8">
      <c r="A36" s="18" t="s">
        <v>40</v>
      </c>
      <c r="B36" s="19">
        <v>3518.75</v>
      </c>
      <c r="C36" s="19">
        <v>6883.33333333333</v>
      </c>
      <c r="D36" s="19">
        <v>5392.857142857143</v>
      </c>
      <c r="E36" s="20">
        <f t="shared" si="0"/>
        <v>-21.653407125561998</v>
      </c>
      <c r="F36" s="21">
        <f t="shared" si="1"/>
        <v>53.260593757929</v>
      </c>
      <c r="I36" s="18" t="s">
        <v>40</v>
      </c>
      <c r="J36" s="19">
        <v>9510.71428571429</v>
      </c>
      <c r="K36" s="19">
        <v>16058.3333333333</v>
      </c>
      <c r="L36" s="19">
        <v>13795.0</v>
      </c>
      <c r="M36" s="20">
        <f t="shared" si="2"/>
        <v>-14.094447327451803</v>
      </c>
      <c r="N36" s="21">
        <f t="shared" si="3"/>
        <v>45.04693954186999</v>
      </c>
      <c r="O36" s="23"/>
      <c r="P36" s="23"/>
      <c r="Q36" s="23"/>
    </row>
    <row r="37" spans="8:8">
      <c r="A37" s="18" t="s">
        <v>41</v>
      </c>
      <c r="B37" s="19">
        <v>3555.89</v>
      </c>
      <c r="C37" s="19">
        <v>7750.0</v>
      </c>
      <c r="D37" s="19">
        <v>5572.222222222223</v>
      </c>
      <c r="E37" s="20">
        <f t="shared" si="0"/>
        <v>-28.100358422939095</v>
      </c>
      <c r="F37" s="21">
        <f t="shared" si="1"/>
        <v>56.704010029057</v>
      </c>
      <c r="I37" s="18" t="s">
        <v>41</v>
      </c>
      <c r="J37" s="19">
        <v>9146.42857142857</v>
      </c>
      <c r="K37" s="19">
        <v>15877.5</v>
      </c>
      <c r="L37" s="19">
        <v>13971.666666666666</v>
      </c>
      <c r="M37" s="20">
        <f t="shared" si="2"/>
        <v>-12.003359051068102</v>
      </c>
      <c r="N37" s="21">
        <f t="shared" si="3"/>
        <v>52.755434075230994</v>
      </c>
      <c r="O37" s="23"/>
      <c r="P37" s="23"/>
      <c r="Q37" s="23"/>
    </row>
    <row r="38" spans="8:8">
      <c r="A38" s="18" t="s">
        <v>42</v>
      </c>
      <c r="B38" s="19">
        <v>3630.909090909091</v>
      </c>
      <c r="C38" s="19">
        <v>7166.66666666667</v>
      </c>
      <c r="D38" s="19">
        <v>5729.166666666667</v>
      </c>
      <c r="E38" s="20">
        <f t="shared" si="0"/>
        <v>-20.058139534883693</v>
      </c>
      <c r="F38" s="21">
        <f t="shared" si="1"/>
        <v>57.788766483058</v>
      </c>
      <c r="I38" s="18" t="s">
        <v>42</v>
      </c>
      <c r="J38" s="19">
        <v>9490.1458</v>
      </c>
      <c r="K38" s="19">
        <v>15881.1111111111</v>
      </c>
      <c r="L38" s="19">
        <v>14232.916666666666</v>
      </c>
      <c r="M38" s="20">
        <f t="shared" si="2"/>
        <v>-10.378332050654095</v>
      </c>
      <c r="N38" s="21">
        <f t="shared" si="3"/>
        <v>49.975742908678</v>
      </c>
      <c r="O38" s="23"/>
      <c r="P38" s="23"/>
      <c r="Q38" s="23"/>
    </row>
    <row r="39" spans="8:8">
      <c r="A39" s="13" t="s">
        <v>43</v>
      </c>
      <c r="B39" s="14">
        <v>3711.2159147869666</v>
      </c>
      <c r="C39" s="14">
        <v>7241.666666666667</v>
      </c>
      <c r="D39" s="14">
        <v>5864.6415165716635</v>
      </c>
      <c r="E39" s="15">
        <f t="shared" si="0"/>
        <v>-19.0153070208746</v>
      </c>
      <c r="F39" s="16">
        <f t="shared" si="1"/>
        <v>58.024799721422994</v>
      </c>
      <c r="I39" s="13" t="s">
        <v>43</v>
      </c>
      <c r="J39" s="14">
        <v>9335.004544949494</v>
      </c>
      <c r="K39" s="14">
        <v>15743.333333333334</v>
      </c>
      <c r="L39" s="14">
        <v>14300.582837301588</v>
      </c>
      <c r="M39" s="15">
        <f t="shared" si="2"/>
        <v>-9.164199636026297</v>
      </c>
      <c r="N39" s="16">
        <f t="shared" si="3"/>
        <v>53.193099890225994</v>
      </c>
      <c r="O39" s="17"/>
      <c r="P39" s="17"/>
      <c r="Q39" s="17"/>
    </row>
    <row r="40" spans="8:8">
      <c r="A40" s="18" t="s">
        <v>44</v>
      </c>
      <c r="B40" s="19">
        <v>3293.33333333333</v>
      </c>
      <c r="C40" s="19">
        <v>7300.0</v>
      </c>
      <c r="D40" s="19">
        <v>5828.125</v>
      </c>
      <c r="E40" s="20">
        <f t="shared" si="0"/>
        <v>-20.162671232876704</v>
      </c>
      <c r="F40" s="21">
        <f t="shared" si="1"/>
        <v>76.96735829959499</v>
      </c>
      <c r="I40" s="18" t="s">
        <v>44</v>
      </c>
      <c r="J40" s="19">
        <v>9199.625</v>
      </c>
      <c r="K40" s="19">
        <v>15860.0</v>
      </c>
      <c r="L40" s="19">
        <v>14379.6875</v>
      </c>
      <c r="M40" s="20">
        <f t="shared" si="2"/>
        <v>-9.333622320302595</v>
      </c>
      <c r="N40" s="21">
        <f t="shared" si="3"/>
        <v>56.30732230933299</v>
      </c>
      <c r="O40" s="23"/>
      <c r="P40" s="23"/>
      <c r="Q40" s="23"/>
    </row>
    <row r="41" spans="8:8" ht="17.45" customHeight="1">
      <c r="A41" s="18" t="s">
        <v>45</v>
      </c>
      <c r="B41" s="19">
        <v>4298.80952380952</v>
      </c>
      <c r="C41" s="19">
        <v>7500.0</v>
      </c>
      <c r="D41" s="19">
        <v>6060.588235294118</v>
      </c>
      <c r="E41" s="20">
        <f t="shared" si="0"/>
        <v>-19.192156862745094</v>
      </c>
      <c r="F41" s="21">
        <f t="shared" si="1"/>
        <v>40.98294427158899</v>
      </c>
      <c r="I41" s="18" t="s">
        <v>45</v>
      </c>
      <c r="J41" s="19">
        <v>9565.5813</v>
      </c>
      <c r="K41" s="19">
        <v>15500.0</v>
      </c>
      <c r="L41" s="19">
        <v>14408.333333333334</v>
      </c>
      <c r="M41" s="20">
        <f t="shared" si="2"/>
        <v>-7.043010752688204</v>
      </c>
      <c r="N41" s="21">
        <f t="shared" si="3"/>
        <v>50.626845159252014</v>
      </c>
      <c r="O41" s="23"/>
      <c r="P41" s="23"/>
      <c r="Q41" s="23"/>
    </row>
    <row r="42" spans="8:8">
      <c r="A42" s="18" t="s">
        <v>46</v>
      </c>
      <c r="B42" s="19">
        <v>3661.05263157895</v>
      </c>
      <c r="C42" s="19">
        <v>7000.0</v>
      </c>
      <c r="D42" s="19">
        <v>6021.538461538462</v>
      </c>
      <c r="E42" s="20">
        <f t="shared" si="0"/>
        <v>-13.978021978022</v>
      </c>
      <c r="F42" s="21">
        <f t="shared" si="1"/>
        <v>64.47560490113699</v>
      </c>
      <c r="I42" s="18" t="s">
        <v>46</v>
      </c>
      <c r="J42" s="19">
        <v>9885.124</v>
      </c>
      <c r="K42" s="19">
        <v>14800.0</v>
      </c>
      <c r="L42" s="19">
        <v>14850.0</v>
      </c>
      <c r="M42" s="20">
        <f t="shared" si="2"/>
        <v>0.3378378378379949</v>
      </c>
      <c r="N42" s="21">
        <f t="shared" si="3"/>
        <v>50.225733131926006</v>
      </c>
      <c r="O42" s="23"/>
      <c r="P42" s="23"/>
      <c r="Q42" s="23"/>
    </row>
    <row r="43" spans="8:8">
      <c r="A43" s="18" t="s">
        <v>47</v>
      </c>
      <c r="B43" s="19">
        <v>3285.0</v>
      </c>
      <c r="C43" s="19">
        <v>6500.0</v>
      </c>
      <c r="D43" s="19">
        <v>5800.0</v>
      </c>
      <c r="E43" s="20">
        <f t="shared" si="0"/>
        <v>-10.769230769230802</v>
      </c>
      <c r="F43" s="21">
        <f t="shared" si="1"/>
        <v>76.560121765601</v>
      </c>
      <c r="I43" s="18" t="s">
        <v>47</v>
      </c>
      <c r="J43" s="19">
        <v>9098.86363636364</v>
      </c>
      <c r="K43" s="19">
        <v>15800.0</v>
      </c>
      <c r="L43" s="19">
        <v>14132.142857142857</v>
      </c>
      <c r="M43" s="20">
        <f t="shared" si="2"/>
        <v>-10.556057866184503</v>
      </c>
      <c r="N43" s="21">
        <f t="shared" si="3"/>
        <v>55.317668468661</v>
      </c>
      <c r="O43" s="23"/>
      <c r="P43" s="23"/>
      <c r="Q43" s="23"/>
    </row>
    <row r="44" spans="8:8">
      <c r="A44" s="18" t="s">
        <v>48</v>
      </c>
      <c r="B44" s="19">
        <v>3598.65</v>
      </c>
      <c r="C44" s="19">
        <v>7800.0</v>
      </c>
      <c r="D44" s="19">
        <v>5682.142857142857</v>
      </c>
      <c r="E44" s="20">
        <f t="shared" si="0"/>
        <v>-27.1520146520147</v>
      </c>
      <c r="F44" s="21">
        <f t="shared" si="1"/>
        <v>57.89651277959399</v>
      </c>
      <c r="I44" s="18" t="s">
        <v>48</v>
      </c>
      <c r="J44" s="19">
        <v>9153.33333333333</v>
      </c>
      <c r="K44" s="19">
        <v>16500.0</v>
      </c>
      <c r="L44" s="19">
        <v>13729.166666666666</v>
      </c>
      <c r="M44" s="20">
        <f t="shared" si="2"/>
        <v>-16.7929292929293</v>
      </c>
      <c r="N44" s="21">
        <f t="shared" si="3"/>
        <v>49.990895848506995</v>
      </c>
      <c r="O44" s="23"/>
      <c r="P44" s="23"/>
      <c r="Q44" s="23"/>
    </row>
    <row r="45" spans="8:8" ht="15.75">
      <c r="A45" s="18" t="s">
        <v>49</v>
      </c>
      <c r="B45">
        <v>4130.45</v>
      </c>
      <c r="C45" s="19">
        <v>7350.0</v>
      </c>
      <c r="D45" s="19">
        <v>5795.454545454545</v>
      </c>
      <c r="E45" s="20">
        <f t="shared" si="0"/>
        <v>-21.1502782931354</v>
      </c>
      <c r="F45" s="21">
        <f t="shared" si="1"/>
        <v>40.31048785131301</v>
      </c>
      <c r="I45" s="18" t="s">
        <v>49</v>
      </c>
      <c r="J45" s="19">
        <v>9107.5</v>
      </c>
      <c r="K45" s="19">
        <v>16000.0</v>
      </c>
      <c r="L45" s="19">
        <v>14304.166666666666</v>
      </c>
      <c r="M45" s="20">
        <f t="shared" si="2"/>
        <v>-10.5989583333333</v>
      </c>
      <c r="N45" s="21">
        <f t="shared" si="3"/>
        <v>57.059200292799005</v>
      </c>
      <c r="O45" s="23"/>
      <c r="P45" s="23"/>
      <c r="Q45" s="23"/>
    </row>
    <row r="46" spans="8:8" ht="15.75">
      <c r="A46" s="24" t="s">
        <v>50</v>
      </c>
      <c r="B46" s="25">
        <v>4072.870557202631</v>
      </c>
      <c r="C46" s="25">
        <v>6966.02924954175</v>
      </c>
      <c r="D46" s="25">
        <v>5974.554661854575</v>
      </c>
      <c r="E46" s="26">
        <f t="shared" si="0"/>
        <v>-14.232994898096294</v>
      </c>
      <c r="F46" s="27">
        <f t="shared" si="1"/>
        <v>46.69149382341499</v>
      </c>
      <c r="I46" s="24" t="s">
        <v>50</v>
      </c>
      <c r="J46" s="25">
        <v>9162.109621618836</v>
      </c>
      <c r="K46" s="25">
        <v>15736.271987618322</v>
      </c>
      <c r="L46" s="25">
        <v>14261.566831685133</v>
      </c>
      <c r="M46" s="26">
        <f t="shared" si="2"/>
        <v>-9.371375616114904</v>
      </c>
      <c r="N46" s="27">
        <f t="shared" si="3"/>
        <v>55.65811173044301</v>
      </c>
      <c r="O46" s="28"/>
      <c r="P46" s="28"/>
      <c r="Q46" s="28"/>
    </row>
    <row r="49" spans="8:8">
      <c r="A49" s="29" t="s">
        <v>51</v>
      </c>
      <c r="B49" s="30"/>
      <c r="I49" s="29" t="s">
        <v>51</v>
      </c>
      <c r="K49" s="29"/>
    </row>
    <row r="50" spans="8:8">
      <c r="A50" s="31" t="s">
        <v>18</v>
      </c>
      <c r="B50" s="32">
        <v>7088.58671875</v>
      </c>
      <c r="I50" s="33" t="s">
        <v>19</v>
      </c>
      <c r="J50" s="32">
        <v>15872.222222222223</v>
      </c>
    </row>
    <row r="51" spans="8:8">
      <c r="A51" s="31" t="s">
        <v>21</v>
      </c>
      <c r="B51" s="32">
        <v>6935.5</v>
      </c>
      <c r="I51" s="31" t="s">
        <v>21</v>
      </c>
      <c r="J51" s="32">
        <v>15823.3193359375</v>
      </c>
    </row>
    <row r="52" spans="8:8">
      <c r="A52" s="31" t="s">
        <v>28</v>
      </c>
      <c r="B52" s="32">
        <v>6750.0</v>
      </c>
      <c r="I52" s="31" t="s">
        <v>20</v>
      </c>
      <c r="J52" s="32">
        <v>15625.0</v>
      </c>
    </row>
    <row r="53" spans="8:8">
      <c r="A53" s="30"/>
      <c r="B53" s="30"/>
      <c r="I53" s="31"/>
      <c r="J53" s="34"/>
      <c r="K53" s="31"/>
    </row>
    <row r="54" spans="8:8">
      <c r="A54" s="29" t="s">
        <v>52</v>
      </c>
      <c r="B54" s="30"/>
      <c r="I54" s="29" t="s">
        <v>52</v>
      </c>
      <c r="J54" s="35"/>
      <c r="K54" s="29"/>
    </row>
    <row r="55" spans="8:8">
      <c r="A55" s="31" t="s">
        <v>40</v>
      </c>
      <c r="B55" s="32">
        <v>5392.857142857143</v>
      </c>
      <c r="I55" s="33" t="s">
        <v>11</v>
      </c>
      <c r="J55" s="32">
        <v>13314.465087890625</v>
      </c>
    </row>
    <row r="56" spans="8:8">
      <c r="A56" s="31" t="s">
        <v>29</v>
      </c>
      <c r="B56" s="32">
        <v>5431.25</v>
      </c>
      <c r="I56" s="31" t="s">
        <v>34</v>
      </c>
      <c r="J56" s="32">
        <v>13411.393310546875</v>
      </c>
    </row>
    <row r="57" spans="8:8">
      <c r="A57" s="31" t="s">
        <v>10</v>
      </c>
      <c r="B57" s="32">
        <v>5560.62841796875</v>
      </c>
      <c r="I57" s="31" t="s">
        <v>53</v>
      </c>
      <c r="J57" s="32">
        <v>13413.8125</v>
      </c>
    </row>
  </sheetData>
  <mergeCells count="2">
    <mergeCell ref="A1:F1"/>
    <mergeCell ref="I1:N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T41"/>
  <sheetViews>
    <sheetView tabSelected="1" workbookViewId="0">
      <selection activeCell="N38" sqref="N38"/>
    </sheetView>
  </sheetViews>
  <sheetFormatPr defaultRowHeight="15.0" defaultColWidth="10"/>
  <cols>
    <col min="1" max="1" customWidth="1" bestFit="1" width="17.0" style="0"/>
    <col min="2" max="2" customWidth="1" bestFit="1" width="16.285156" style="0"/>
    <col min="3" max="3" customWidth="1" bestFit="1" width="16.855469" style="0"/>
    <col min="4" max="4" customWidth="1" bestFit="1" width="16.285156" style="0"/>
    <col min="12" max="12" customWidth="1" bestFit="1" width="17.0" style="0"/>
    <col min="13" max="13" customWidth="1" bestFit="1" width="7.5703125" style="0"/>
  </cols>
  <sheetData>
    <row r="1" spans="8:8" ht="15.75">
      <c r="A1" s="7"/>
      <c r="B1" s="8" t="s">
        <v>2</v>
      </c>
      <c r="C1" s="8" t="s">
        <v>3</v>
      </c>
      <c r="D1" s="8" t="s">
        <v>4</v>
      </c>
      <c r="E1" s="8" t="s">
        <v>5</v>
      </c>
      <c r="F1" s="9" t="s">
        <v>6</v>
      </c>
      <c r="N1" s="1" t="s">
        <v>0</v>
      </c>
      <c r="O1" s="2"/>
      <c r="P1" s="2"/>
      <c r="Q1" s="2"/>
      <c r="R1" s="2"/>
      <c r="S1" s="3"/>
    </row>
    <row r="2" spans="8:8">
      <c r="A2" s="18" t="s">
        <v>8</v>
      </c>
      <c r="B2" s="19">
        <v>4387.35872</v>
      </c>
      <c r="C2" s="19">
        <v>6710.0</v>
      </c>
      <c r="D2" s="19">
        <v>5617.7</v>
      </c>
      <c r="E2" s="20">
        <f>D2/C2*100-100</f>
        <v>-16.278688524590194</v>
      </c>
      <c r="F2" s="21">
        <f>D2/B2*100-100</f>
        <v>28.042869492102994</v>
      </c>
      <c r="L2" s="13" t="s">
        <v>7</v>
      </c>
      <c r="M2" s="14">
        <v>4425.558184489796</v>
      </c>
      <c r="N2" s="14">
        <v>7096.508900226757</v>
      </c>
      <c r="O2" s="14">
        <v>6042.332931619161</v>
      </c>
      <c r="P2" s="15">
        <f>O2/N2*100-100</f>
        <v>-14.854853047164</v>
      </c>
      <c r="Q2" s="16">
        <f>O2/M2*100-100</f>
        <v>36.53267406574099</v>
      </c>
    </row>
    <row r="3" spans="8:8">
      <c r="A3" s="18" t="s">
        <v>9</v>
      </c>
      <c r="B3" s="19">
        <v>4579.87</v>
      </c>
      <c r="C3" s="19">
        <v>7336.14285714286</v>
      </c>
      <c r="D3" s="19">
        <v>6491.0</v>
      </c>
      <c r="E3" s="20">
        <f t="shared" si="0" ref="E3:E41">D3/C3*100-100</f>
        <v>-11.5202617179133</v>
      </c>
      <c r="F3" s="21">
        <f t="shared" si="1" ref="F3:F41">D3/B3*100-100</f>
        <v>41.728913702791004</v>
      </c>
      <c r="L3" s="13" t="s">
        <v>15</v>
      </c>
      <c r="M3" s="14">
        <v>4087.8351190476665</v>
      </c>
      <c r="N3" s="14">
        <v>6807.388888888895</v>
      </c>
      <c r="O3" s="14">
        <v>6446.534812973485</v>
      </c>
      <c r="P3" s="15">
        <f>O3/N3*100-100</f>
        <v>-5.300917602994602</v>
      </c>
      <c r="Q3" s="16">
        <f>O3/M3*100-100</f>
        <v>57.700460640774</v>
      </c>
    </row>
    <row r="4" spans="8:8">
      <c r="A4" s="18" t="s">
        <v>10</v>
      </c>
      <c r="B4" s="19">
        <v>4621.42857142857</v>
      </c>
      <c r="C4" s="19">
        <v>7238.18333333333</v>
      </c>
      <c r="D4" s="19">
        <v>5560.62841796875</v>
      </c>
      <c r="E4" s="20">
        <f t="shared" si="0"/>
        <v>-23.176463459264596</v>
      </c>
      <c r="F4" s="21">
        <f t="shared" si="1"/>
        <v>20.322716926680997</v>
      </c>
      <c r="L4" s="13" t="s">
        <v>22</v>
      </c>
      <c r="M4" s="14">
        <v>4265.965411255413</v>
      </c>
      <c r="N4" s="14">
        <v>6660.204365079365</v>
      </c>
      <c r="O4" s="14">
        <v>6014.543083900227</v>
      </c>
      <c r="P4" s="15">
        <f>O4/N4*100-100</f>
        <v>-9.694316357084404</v>
      </c>
      <c r="Q4" s="16">
        <f>O4/M4*100-100</f>
        <v>40.98902602518399</v>
      </c>
    </row>
    <row r="5" spans="8:8">
      <c r="A5" s="18" t="s">
        <v>11</v>
      </c>
      <c r="B5" s="19">
        <v>4780.0</v>
      </c>
      <c r="C5" s="19">
        <v>7562.3125</v>
      </c>
      <c r="D5" s="19">
        <v>5936.2919921875</v>
      </c>
      <c r="E5" s="20">
        <f t="shared" si="0"/>
        <v>-21.501630722249303</v>
      </c>
      <c r="F5" s="21">
        <f t="shared" si="1"/>
        <v>24.190209041580005</v>
      </c>
      <c r="L5" s="13" t="s">
        <v>30</v>
      </c>
      <c r="M5" s="14">
        <v>3847.920137254902</v>
      </c>
      <c r="N5" s="14">
        <v>6961.906764069265</v>
      </c>
      <c r="O5" s="14">
        <v>5773.817274193331</v>
      </c>
      <c r="P5" s="15">
        <f>O5/N5*100-100</f>
        <v>-17.065576000065406</v>
      </c>
      <c r="Q5" s="16">
        <f>O5/M5*100-100</f>
        <v>50.05034065785901</v>
      </c>
    </row>
    <row r="6" spans="8:8">
      <c r="A6" s="18" t="s">
        <v>12</v>
      </c>
      <c r="B6" s="19">
        <v>3366.66666666667</v>
      </c>
      <c r="C6" s="19">
        <v>6412.65625</v>
      </c>
      <c r="D6" s="19">
        <v>6277.978515625</v>
      </c>
      <c r="E6" s="20">
        <f t="shared" si="0"/>
        <v>-2.1001863989668976</v>
      </c>
      <c r="F6" s="21">
        <f t="shared" si="1"/>
        <v>86.474609375</v>
      </c>
      <c r="L6" s="13" t="s">
        <v>36</v>
      </c>
      <c r="M6" s="14">
        <v>3970.2730928330934</v>
      </c>
      <c r="N6" s="14">
        <v>7057.0370370370365</v>
      </c>
      <c r="O6" s="14">
        <v>5654.041005291006</v>
      </c>
      <c r="P6" s="15">
        <f>O6/N6*100-100</f>
        <v>-19.880808679092496</v>
      </c>
      <c r="Q6" s="16">
        <f>O6/M6*100-100</f>
        <v>42.409372682634</v>
      </c>
    </row>
    <row r="7" spans="8:8">
      <c r="A7" s="18" t="s">
        <v>13</v>
      </c>
      <c r="B7" s="19">
        <v>4633.33333333333</v>
      </c>
      <c r="C7" s="19">
        <v>7219.44444444444</v>
      </c>
      <c r="D7" s="19">
        <v>6165.3125</v>
      </c>
      <c r="E7" s="20">
        <f t="shared" si="0"/>
        <v>-14.601288957291203</v>
      </c>
      <c r="F7" s="21">
        <f t="shared" si="1"/>
        <v>33.06429856115099</v>
      </c>
      <c r="L7" s="13" t="s">
        <v>43</v>
      </c>
      <c r="M7" s="14">
        <v>3711.2159147869666</v>
      </c>
      <c r="N7" s="14">
        <v>7241.666666666667</v>
      </c>
      <c r="O7" s="14">
        <v>5864.6415165716635</v>
      </c>
      <c r="P7" s="15">
        <f>O7/N7*100-100</f>
        <v>-19.0153070208746</v>
      </c>
      <c r="Q7" s="16">
        <f>O7/M7*100-100</f>
        <v>58.024799721422994</v>
      </c>
    </row>
    <row r="8" spans="8:8">
      <c r="A8" s="18" t="s">
        <v>14</v>
      </c>
      <c r="B8" s="19">
        <v>4610.25</v>
      </c>
      <c r="C8" s="19">
        <v>7196.82291666667</v>
      </c>
      <c r="D8" s="19">
        <v>6247.419095552885</v>
      </c>
      <c r="E8" s="20">
        <f t="shared" si="0"/>
        <v>-13.191985298333805</v>
      </c>
      <c r="F8" s="21">
        <f t="shared" si="1"/>
        <v>35.511503618088</v>
      </c>
    </row>
    <row r="9" spans="8:8">
      <c r="A9" s="18" t="s">
        <v>16</v>
      </c>
      <c r="B9" s="19">
        <v>4534.375</v>
      </c>
      <c r="C9" s="19">
        <v>6470.0</v>
      </c>
      <c r="D9" s="19">
        <v>5870.0</v>
      </c>
      <c r="E9" s="20">
        <f t="shared" si="0"/>
        <v>-9.273570324575005</v>
      </c>
      <c r="F9" s="21">
        <f t="shared" si="1"/>
        <v>29.455547898000987</v>
      </c>
    </row>
    <row r="10" spans="8:8">
      <c r="A10" s="18" t="s">
        <v>17</v>
      </c>
      <c r="B10" s="19">
        <v>4228.29</v>
      </c>
      <c r="C10" s="19">
        <v>7000.0</v>
      </c>
      <c r="D10" s="19">
        <v>6395.0</v>
      </c>
      <c r="E10" s="20">
        <f t="shared" si="0"/>
        <v>-8.642857142857096</v>
      </c>
      <c r="F10" s="21">
        <f t="shared" si="1"/>
        <v>51.24317395448301</v>
      </c>
    </row>
    <row r="11" spans="8:8">
      <c r="A11" s="18" t="s">
        <v>18</v>
      </c>
      <c r="B11" s="19">
        <v>3785.285714286</v>
      </c>
      <c r="C11" s="19">
        <v>7186.66666666667</v>
      </c>
      <c r="D11" s="19">
        <v>7088.58671875</v>
      </c>
      <c r="E11" s="20">
        <f t="shared" si="0"/>
        <v>-1.3647488114563942</v>
      </c>
      <c r="F11" s="21">
        <f t="shared" si="1"/>
        <v>87.266886935299</v>
      </c>
    </row>
    <row r="12" spans="8:8">
      <c r="A12" s="18" t="s">
        <v>19</v>
      </c>
      <c r="B12" s="19">
        <v>3655.45</v>
      </c>
      <c r="C12" s="19">
        <v>6825.0</v>
      </c>
      <c r="D12" s="19">
        <v>6293.590909090909</v>
      </c>
      <c r="E12" s="20">
        <f t="shared" si="0"/>
        <v>-7.786213786213807</v>
      </c>
      <c r="F12" s="21">
        <f t="shared" si="1"/>
        <v>72.170072332843</v>
      </c>
    </row>
    <row r="13" spans="8:8">
      <c r="A13" s="18" t="s">
        <v>20</v>
      </c>
      <c r="B13" s="19">
        <v>4198.25</v>
      </c>
      <c r="C13" s="19">
        <v>7300.1666666667</v>
      </c>
      <c r="D13" s="19">
        <v>6096.53125</v>
      </c>
      <c r="E13" s="20">
        <f t="shared" si="0"/>
        <v>-16.487779959362</v>
      </c>
      <c r="F13" s="21">
        <f t="shared" si="1"/>
        <v>45.21601262430801</v>
      </c>
    </row>
    <row r="14" spans="8:8">
      <c r="A14" s="18" t="s">
        <v>21</v>
      </c>
      <c r="B14" s="19">
        <v>4125.36</v>
      </c>
      <c r="C14" s="19">
        <v>6062.5</v>
      </c>
      <c r="D14" s="19">
        <v>6935.5</v>
      </c>
      <c r="E14" s="20">
        <f t="shared" si="0"/>
        <v>14.400000000000006</v>
      </c>
      <c r="F14" s="21">
        <f t="shared" si="1"/>
        <v>68.11866115926901</v>
      </c>
    </row>
    <row r="15" spans="8:8">
      <c r="A15" s="18" t="s">
        <v>23</v>
      </c>
      <c r="B15" s="19">
        <v>4142.85714285714</v>
      </c>
      <c r="C15" s="19">
        <v>6144.444444444444</v>
      </c>
      <c r="D15" s="19">
        <v>6243.75</v>
      </c>
      <c r="E15" s="20">
        <f t="shared" si="0"/>
        <v>1.6161844484630024</v>
      </c>
      <c r="F15" s="21">
        <f t="shared" si="1"/>
        <v>50.711206896552</v>
      </c>
    </row>
    <row r="16" spans="8:8">
      <c r="A16" s="18" t="s">
        <v>24</v>
      </c>
      <c r="B16" s="19">
        <v>4579.16666666667</v>
      </c>
      <c r="C16" s="19">
        <v>6800.875</v>
      </c>
      <c r="D16" s="19">
        <v>5602.0</v>
      </c>
      <c r="E16" s="20">
        <f t="shared" si="0"/>
        <v>-17.6282463653574</v>
      </c>
      <c r="F16" s="21">
        <f t="shared" si="1"/>
        <v>22.336669699726997</v>
      </c>
    </row>
    <row r="17" spans="8:8">
      <c r="A17" s="18" t="s">
        <v>25</v>
      </c>
      <c r="B17" s="19">
        <v>4432.14285714286</v>
      </c>
      <c r="C17" s="19">
        <v>6900.0</v>
      </c>
      <c r="D17" s="19">
        <v>5787.5</v>
      </c>
      <c r="E17" s="20">
        <f t="shared" si="0"/>
        <v>-16.123188405797094</v>
      </c>
      <c r="F17" s="21">
        <f t="shared" si="1"/>
        <v>30.580177276390003</v>
      </c>
    </row>
    <row r="18" spans="8:8">
      <c r="A18" s="18" t="s">
        <v>26</v>
      </c>
      <c r="B18" s="19">
        <v>4195.45454545455</v>
      </c>
      <c r="C18" s="19">
        <v>6375.0</v>
      </c>
      <c r="D18" s="19">
        <v>6194.444444444444</v>
      </c>
      <c r="E18" s="20">
        <f t="shared" si="0"/>
        <v>-2.8322440087145964</v>
      </c>
      <c r="F18" s="21">
        <f t="shared" si="1"/>
        <v>47.64656313952099</v>
      </c>
    </row>
    <row r="19" spans="8:8">
      <c r="A19" s="18" t="s">
        <v>27</v>
      </c>
      <c r="B19" s="19">
        <v>3630.0</v>
      </c>
      <c r="C19" s="19">
        <v>6511.11111111111</v>
      </c>
      <c r="D19" s="19">
        <v>6092.857142857143</v>
      </c>
      <c r="E19" s="20">
        <f t="shared" si="0"/>
        <v>-6.423695758166701</v>
      </c>
      <c r="F19" s="21">
        <f t="shared" si="1"/>
        <v>67.84730421094099</v>
      </c>
    </row>
    <row r="20" spans="8:8">
      <c r="A20" s="18" t="s">
        <v>28</v>
      </c>
      <c r="B20" s="19">
        <v>4186.66666666667</v>
      </c>
      <c r="C20" s="19">
        <v>7000.0</v>
      </c>
      <c r="D20" s="19">
        <v>6750.0</v>
      </c>
      <c r="E20" s="20">
        <f t="shared" si="0"/>
        <v>-3.571428571428598</v>
      </c>
      <c r="F20" s="21">
        <f t="shared" si="1"/>
        <v>61.226114649680994</v>
      </c>
    </row>
    <row r="21" spans="8:8">
      <c r="A21" s="18" t="s">
        <v>29</v>
      </c>
      <c r="B21" s="19">
        <v>4695.47</v>
      </c>
      <c r="C21" s="19">
        <v>6890.0</v>
      </c>
      <c r="D21" s="19">
        <v>5431.25</v>
      </c>
      <c r="E21" s="20">
        <f t="shared" si="0"/>
        <v>-21.171988388969496</v>
      </c>
      <c r="F21" s="21">
        <f t="shared" si="1"/>
        <v>15.669996826729005</v>
      </c>
    </row>
    <row r="22" spans="8:8">
      <c r="A22" s="18" t="s">
        <v>31</v>
      </c>
      <c r="B22" s="19">
        <v>3858.82352941176</v>
      </c>
      <c r="C22" s="19">
        <v>7304.16666666667</v>
      </c>
      <c r="D22" s="19">
        <v>5824.557692307692</v>
      </c>
      <c r="E22" s="20">
        <f t="shared" si="0"/>
        <v>-20.257053841765796</v>
      </c>
      <c r="F22" s="21">
        <f t="shared" si="1"/>
        <v>50.94128166041301</v>
      </c>
    </row>
    <row r="23" spans="8:8">
      <c r="A23" s="18" t="s">
        <v>32</v>
      </c>
      <c r="B23" s="19">
        <v>3586.66666666667</v>
      </c>
      <c r="C23" s="19">
        <v>6338.75</v>
      </c>
      <c r="D23" s="19">
        <v>5857.083333333333</v>
      </c>
      <c r="E23" s="20">
        <f t="shared" si="0"/>
        <v>-7.598764214816299</v>
      </c>
      <c r="F23" s="21">
        <f t="shared" si="1"/>
        <v>63.30157992565</v>
      </c>
    </row>
    <row r="24" spans="8:8">
      <c r="A24" s="18" t="s">
        <v>33</v>
      </c>
      <c r="B24" s="19">
        <v>4050.385</v>
      </c>
      <c r="C24" s="19">
        <v>7590.78571428571</v>
      </c>
      <c r="D24" s="19">
        <v>5814.017857142857</v>
      </c>
      <c r="E24" s="20">
        <f t="shared" si="0"/>
        <v>-23.406903106209498</v>
      </c>
      <c r="F24" s="21">
        <f t="shared" si="1"/>
        <v>43.54235108867101</v>
      </c>
    </row>
    <row r="25" spans="8:8">
      <c r="A25" s="18" t="s">
        <v>34</v>
      </c>
      <c r="B25" s="19">
        <v>3846.66666666667</v>
      </c>
      <c r="C25" s="19">
        <v>6825.22727272727</v>
      </c>
      <c r="D25" s="19">
        <v>5729.133370535715</v>
      </c>
      <c r="E25" s="20">
        <f t="shared" si="0"/>
        <v>-16.0594491347036</v>
      </c>
      <c r="F25" s="21">
        <f t="shared" si="1"/>
        <v>48.93760928602401</v>
      </c>
    </row>
    <row r="26" spans="8:8">
      <c r="A26" s="18" t="s">
        <v>35</v>
      </c>
      <c r="B26" s="19">
        <v>3897.05882352941</v>
      </c>
      <c r="C26" s="19">
        <v>6750.60416666667</v>
      </c>
      <c r="D26" s="19">
        <v>5644.294117647059</v>
      </c>
      <c r="E26" s="20">
        <f t="shared" si="0"/>
        <v>-16.388311648939194</v>
      </c>
      <c r="F26" s="21">
        <f t="shared" si="1"/>
        <v>44.834716981132004</v>
      </c>
    </row>
    <row r="27" spans="8:8">
      <c r="A27" s="18" t="s">
        <v>37</v>
      </c>
      <c r="B27" s="19">
        <v>4095.45454545455</v>
      </c>
      <c r="C27" s="19">
        <v>6597.22222222222</v>
      </c>
      <c r="D27" s="19">
        <v>5950.0</v>
      </c>
      <c r="E27" s="20">
        <f t="shared" si="0"/>
        <v>-9.810526315789403</v>
      </c>
      <c r="F27" s="21">
        <f t="shared" si="1"/>
        <v>45.283018867924</v>
      </c>
    </row>
    <row r="28" spans="8:8">
      <c r="A28" s="18" t="s">
        <v>38</v>
      </c>
      <c r="B28" s="19">
        <v>4627.77777777778</v>
      </c>
      <c r="C28" s="19">
        <v>6525.0</v>
      </c>
      <c r="D28" s="19">
        <v>5572.222222222223</v>
      </c>
      <c r="E28" s="20">
        <f t="shared" si="0"/>
        <v>-14.601958280119206</v>
      </c>
      <c r="F28" s="21">
        <f t="shared" si="1"/>
        <v>20.408163265306</v>
      </c>
    </row>
    <row r="29" spans="8:8">
      <c r="A29" s="18" t="s">
        <v>39</v>
      </c>
      <c r="B29" s="19">
        <v>4392.85714285714</v>
      </c>
      <c r="C29" s="19">
        <v>7420.0</v>
      </c>
      <c r="D29" s="19">
        <v>5707.777777777777</v>
      </c>
      <c r="E29" s="20">
        <f t="shared" si="0"/>
        <v>-23.075771188978706</v>
      </c>
      <c r="F29" s="21">
        <f t="shared" si="1"/>
        <v>29.93315266485999</v>
      </c>
    </row>
    <row r="30" spans="8:8">
      <c r="A30" s="18" t="s">
        <v>40</v>
      </c>
      <c r="B30" s="19">
        <v>3518.75</v>
      </c>
      <c r="C30" s="19">
        <v>6883.33333333333</v>
      </c>
      <c r="D30" s="19">
        <v>5392.857142857143</v>
      </c>
      <c r="E30" s="20">
        <f t="shared" si="0"/>
        <v>-21.653407125561998</v>
      </c>
      <c r="F30" s="21">
        <f t="shared" si="1"/>
        <v>53.260593757929</v>
      </c>
    </row>
    <row r="31" spans="8:8">
      <c r="A31" s="18" t="s">
        <v>41</v>
      </c>
      <c r="B31" s="19">
        <v>3555.89</v>
      </c>
      <c r="C31" s="19">
        <v>7750.0</v>
      </c>
      <c r="D31" s="19">
        <v>5572.222222222223</v>
      </c>
      <c r="E31" s="20">
        <f t="shared" si="0"/>
        <v>-28.100358422939095</v>
      </c>
      <c r="F31" s="21">
        <f t="shared" si="1"/>
        <v>56.704010029057</v>
      </c>
    </row>
    <row r="32" spans="8:8">
      <c r="A32" s="18" t="s">
        <v>42</v>
      </c>
      <c r="B32" s="19">
        <v>3630.909090909091</v>
      </c>
      <c r="C32" s="19">
        <v>7166.66666666667</v>
      </c>
      <c r="D32" s="19">
        <v>5729.166666666667</v>
      </c>
      <c r="E32" s="20">
        <f t="shared" si="0"/>
        <v>-20.058139534883693</v>
      </c>
      <c r="F32" s="21">
        <f t="shared" si="1"/>
        <v>57.788766483058</v>
      </c>
    </row>
    <row r="33" spans="8:8">
      <c r="A33" s="18" t="s">
        <v>44</v>
      </c>
      <c r="B33" s="19">
        <v>3293.33333333333</v>
      </c>
      <c r="C33" s="19">
        <v>7300.0</v>
      </c>
      <c r="D33" s="19">
        <v>5828.125</v>
      </c>
      <c r="E33" s="20">
        <f t="shared" si="0"/>
        <v>-20.162671232876704</v>
      </c>
      <c r="F33" s="21">
        <f t="shared" si="1"/>
        <v>76.96735829959499</v>
      </c>
    </row>
    <row r="34" spans="8:8">
      <c r="A34" s="18" t="s">
        <v>45</v>
      </c>
      <c r="B34" s="19">
        <v>4298.80952380952</v>
      </c>
      <c r="C34" s="19">
        <v>7500.0</v>
      </c>
      <c r="D34" s="19">
        <v>6060.588235294118</v>
      </c>
      <c r="E34" s="20">
        <f t="shared" si="0"/>
        <v>-19.192156862745094</v>
      </c>
      <c r="F34" s="21">
        <f t="shared" si="1"/>
        <v>40.98294427158899</v>
      </c>
    </row>
    <row r="35" spans="8:8">
      <c r="A35" s="18" t="s">
        <v>46</v>
      </c>
      <c r="B35" s="19">
        <v>3661.05263157895</v>
      </c>
      <c r="C35" s="19">
        <v>7000.0</v>
      </c>
      <c r="D35" s="19">
        <v>6021.538461538462</v>
      </c>
      <c r="E35" s="20">
        <f t="shared" si="0"/>
        <v>-13.978021978022</v>
      </c>
      <c r="F35" s="21">
        <f t="shared" si="1"/>
        <v>64.47560490113699</v>
      </c>
    </row>
    <row r="36" spans="8:8">
      <c r="A36" s="18" t="s">
        <v>47</v>
      </c>
      <c r="B36" s="19">
        <v>3285.0</v>
      </c>
      <c r="C36" s="19">
        <v>6500.0</v>
      </c>
      <c r="D36" s="19">
        <v>5800.0</v>
      </c>
      <c r="E36" s="20">
        <f t="shared" si="0"/>
        <v>-10.769230769230802</v>
      </c>
      <c r="F36" s="21">
        <f t="shared" si="1"/>
        <v>76.560121765601</v>
      </c>
    </row>
    <row r="37" spans="8:8">
      <c r="A37" s="18" t="s">
        <v>48</v>
      </c>
      <c r="B37" s="19">
        <v>3598.65</v>
      </c>
      <c r="C37" s="19">
        <v>7800.0</v>
      </c>
      <c r="D37" s="19">
        <v>5682.142857142857</v>
      </c>
      <c r="E37" s="20">
        <f t="shared" si="0"/>
        <v>-27.1520146520147</v>
      </c>
      <c r="F37" s="21">
        <f t="shared" si="1"/>
        <v>57.89651277959399</v>
      </c>
    </row>
    <row r="38" spans="8:8">
      <c r="A38" s="18" t="s">
        <v>49</v>
      </c>
      <c r="B38">
        <v>4130.45</v>
      </c>
      <c r="C38" s="19">
        <v>7350.0</v>
      </c>
      <c r="D38" s="19">
        <v>5795.454545454545</v>
      </c>
      <c r="E38" s="20">
        <f t="shared" si="0"/>
        <v>-21.1502782931354</v>
      </c>
      <c r="F38" s="21">
        <f t="shared" si="1"/>
        <v>40.31048785131301</v>
      </c>
    </row>
    <row r="39" spans="8:8">
      <c r="A39" s="18"/>
      <c r="C39" s="19"/>
      <c r="D39" s="19"/>
      <c r="E39" s="20"/>
      <c r="F39" s="21"/>
    </row>
    <row r="40" spans="8:8" ht="15.75">
      <c r="A40" s="18"/>
      <c r="C40" s="19"/>
      <c r="D40" s="19"/>
      <c r="E40" s="20"/>
      <c r="F40" s="21"/>
    </row>
    <row r="41" spans="8:8" ht="15.75">
      <c r="A41" s="24" t="s">
        <v>50</v>
      </c>
      <c r="B41" s="25">
        <v>4072.870557202631</v>
      </c>
      <c r="C41" s="25">
        <v>6966.02924954175</v>
      </c>
      <c r="D41" s="25">
        <v>5974.554661854575</v>
      </c>
      <c r="E41" s="26">
        <f t="shared" si="0"/>
        <v>-14.232994898096294</v>
      </c>
      <c r="F41" s="27">
        <f t="shared" si="1"/>
        <v>46.69149382341499</v>
      </c>
    </row>
  </sheetData>
  <mergeCells count="1"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Vee Onuorah</dc:creator>
  <cp:lastModifiedBy>aceelm91@outlook.com</cp:lastModifiedBy>
  <dcterms:created xsi:type="dcterms:W3CDTF">2024-08-18T09:30:02Z</dcterms:created>
  <dcterms:modified xsi:type="dcterms:W3CDTF">2025-11-26T15:53:40Z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978f6dc3de01497ab36b551621d16345</vt:lpwstr>
  </property>
</Properties>
</file>